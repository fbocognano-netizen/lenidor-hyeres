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fa93c0b98184439f" /></Relationships>
</file>

<file path=xl/workbook.xml><?xml version="1.0" encoding="utf-8"?>
<x:workbook xmlns:x="http://schemas.openxmlformats.org/spreadsheetml/2006/main">
  <x:sheets>
    <x:sheet xmlns:r="http://schemas.openxmlformats.org/officeDocument/2006/relationships" name="Synthèse" sheetId="1" r:id="R4de4082b09004be3"/>
    <x:sheet xmlns:r="http://schemas.openxmlformats.org/officeDocument/2006/relationships" name="Mots-clés" sheetId="2" r:id="Rccbb04752f77415f"/>
    <x:sheet xmlns:r="http://schemas.openxmlformats.org/officeDocument/2006/relationships" name="Plan contenu" sheetId="3" r:id="R57e00bdfd1f34b13"/>
    <x:sheet xmlns:r="http://schemas.openxmlformats.org/officeDocument/2006/relationships" name="Méthodologie" sheetId="4" r:id="R2342a30b38cf4eb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
  </x:numFmts>
  <x:fonts count="12">
    <x:font>
      <x:sz val="11"/>
      <x:name val="Carlito"/>
    </x:font>
    <x:font>
      <x:b/>
      <x:sz val="20"/>
      <x:color rgb="FFFFFFFF"/>
      <x:name val="Carlito"/>
    </x:font>
    <x:font>
      <x:b/>
      <x:sz val="11"/>
      <x:color rgb="FFFFFFFF"/>
      <x:name val="Carlito"/>
    </x:font>
    <x:font>
      <x:b/>
      <x:sz val="11"/>
      <x:color rgb="FF14324A"/>
      <x:name val="Carlito"/>
    </x:font>
    <x:font>
      <x:sz val="11"/>
      <x:color rgb="FF14324A"/>
      <x:name val="Carlito"/>
    </x:font>
    <x:font>
      <x:b/>
      <x:sz val="11"/>
      <x:color rgb="FF155B36"/>
      <x:name val="Carlito"/>
    </x:font>
    <x:font>
      <x:b/>
      <x:sz val="18"/>
      <x:color rgb="FFFFFFFF"/>
      <x:name val="Carlito"/>
    </x:font>
    <x:font>
      <x:b/>
      <x:sz val="10"/>
      <x:color rgb="FFFFFFFF"/>
      <x:name val="Aptos"/>
    </x:font>
    <x:font>
      <x:sz val="10"/>
      <x:name val="Aptos"/>
    </x:font>
    <x:font>
      <x:b/>
      <x:sz val="10"/>
      <x:color rgb="FF14324A"/>
      <x:name val="Aptos"/>
    </x:font>
    <x:font>
      <x:sz val="10"/>
      <x:color rgb="FF14324A"/>
      <x:name val="Aptos"/>
    </x:font>
    <x:font>
      <x:b/>
      <x:sz val="10"/>
      <x:color rgb="FF155B36"/>
      <x:name val="Aptos"/>
    </x:font>
  </x:fonts>
  <x:fills count="7">
    <x:fill>
      <x:patternFill patternType="none"/>
    </x:fill>
    <x:fill>
      <x:patternFill patternType="gray125"/>
    </x:fill>
    <x:fill>
      <x:patternFill patternType="solid">
        <x:fgColor rgb="FF14324A"/>
      </x:patternFill>
    </x:fill>
    <x:fill>
      <x:patternFill patternType="solid">
        <x:fgColor rgb="FFD6A84B"/>
      </x:patternFill>
    </x:fill>
    <x:fill>
      <x:patternFill patternType="solid">
        <x:fgColor rgb="FFF5F0E6"/>
      </x:patternFill>
    </x:fill>
    <x:fill>
      <x:patternFill patternType="solid">
        <x:fgColor rgb="FFDDEFE4"/>
      </x:patternFill>
    </x:fill>
    <x:fill>
      <x:patternFill patternType="solid">
        <x:fgColor rgb="FFDCEAF3"/>
      </x:patternFill>
    </x:fill>
  </x:fills>
  <x:borders count="10">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top style="thin">
        <x:color rgb="FFE5E7EB"/>
      </x:top>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s>
  <x:cellStyleXfs count="1">
    <x:xf numFmtId="0" fontId="0" fillId="0" borderId="0"/>
  </x:cellStyleXfs>
  <x:cellXfs count="10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top" wrapText="1"/>
    </x:xf>
    <x:xf numFmtId="0" fontId="2" fillId="2" borderId="0" xfId="0" applyNumberFormat="1" applyFont="1" applyFill="1" applyBorder="1"/>
    <x:xf numFmtId="0" fontId="0" fillId="5" borderId="0" xfId="0" applyNumberFormat="1" applyFont="1" applyFill="1" applyBorder="1"/>
    <x:xf numFmtId="0" fontId="5" fillId="5" borderId="0" xfId="0" applyNumberFormat="1" applyFont="1" applyFill="1" applyBorder="1"/>
    <x:xf numFmtId="0" fontId="0" fillId="6" borderId="0" xfId="0" applyNumberFormat="1" applyFont="1" applyFill="1" applyBorder="1"/>
    <x:xf numFmtId="0" fontId="3" fillId="6" borderId="0" xfId="0" applyNumberFormat="1" applyFont="1" applyFill="1" applyBorder="1"/>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4" borderId="0" xfId="0" applyNumberFormat="1" applyFont="1" applyFill="1" applyBorder="1" applyAlignment="1">
      <x:alignment wrapText="1"/>
    </x:xf>
    <x:xf numFmtId="0" fontId="2" fillId="2" borderId="0" xfId="0" applyNumberFormat="1" applyFont="1" applyFill="1" applyBorder="1" applyAlignment="1">
      <x:alignment wrapText="1"/>
    </x:xf>
    <x:xf numFmtId="0" fontId="5" fillId="5" borderId="0" xfId="0" applyNumberFormat="1" applyFont="1" applyFill="1" applyBorder="1" applyAlignment="1">
      <x:alignment wrapText="1"/>
    </x:xf>
    <x:xf numFmtId="0" fontId="3" fillId="6" borderId="0" xfId="0" applyNumberFormat="1" applyFont="1" applyFill="1" applyBorder="1" applyAlignment="1">
      <x:alignment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vertical="center" wrapText="1"/>
    </x:xf>
    <x:xf numFmtId="200"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0" fontId="2" fillId="2" borderId="1" xfId="0" applyNumberFormat="1" applyFont="1" applyFill="1" applyBorder="1" applyAlignment="1">
      <x:alignment vertical="center"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200" fontId="0" fillId="0" borderId="5" xfId="0" applyNumberFormat="1" applyFont="1" applyFill="1" applyBorder="1" applyAlignment="1">
      <x:alignment wrapText="1"/>
    </x:xf>
    <x:xf numFmtId="201"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200" fontId="0" fillId="0" borderId="8" xfId="0" applyNumberFormat="1" applyFont="1" applyFill="1" applyBorder="1" applyAlignment="1">
      <x:alignment wrapText="1"/>
    </x:xf>
    <x:xf numFmtId="201"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6" fillId="2" borderId="0" xfId="0" applyNumberFormat="1" applyFont="1" applyFill="1" applyBorder="1"/>
    <x:xf numFmtId="0" fontId="7" fillId="2" borderId="0" xfId="0" applyNumberFormat="1" applyFont="1" applyFill="1" applyBorder="1" applyAlignment="1">
      <x:alignment vertical="center" wrapText="1"/>
    </x:xf>
    <x:xf numFmtId="0" fontId="8" fillId="0" borderId="0" xfId="0" applyNumberFormat="1" applyFont="1" applyFill="1" applyBorder="1" applyAlignment="1">
      <x:alignment wrapText="1"/>
    </x:xf>
    <x:xf numFmtId="0" fontId="7" fillId="3" borderId="0" xfId="0" applyNumberFormat="1" applyFont="1" applyFill="1" applyBorder="1" applyAlignment="1">
      <x:alignment wrapText="1"/>
    </x:xf>
    <x:xf numFmtId="0" fontId="9" fillId="4" borderId="0" xfId="0" applyNumberFormat="1" applyFont="1" applyFill="1" applyBorder="1" applyAlignment="1">
      <x:alignment wrapText="1"/>
    </x:xf>
    <x:xf numFmtId="0" fontId="10" fillId="4" borderId="0" xfId="0" applyNumberFormat="1" applyFont="1" applyFill="1" applyBorder="1" applyAlignment="1">
      <x:alignment vertical="top" wrapText="1"/>
    </x:xf>
    <x:xf numFmtId="0" fontId="7" fillId="2" borderId="0" xfId="0" applyNumberFormat="1" applyFont="1" applyFill="1" applyBorder="1" applyAlignment="1">
      <x:alignment wrapText="1"/>
    </x:xf>
    <x:xf numFmtId="0" fontId="11" fillId="5" borderId="0" xfId="0" applyNumberFormat="1" applyFont="1" applyFill="1" applyBorder="1" applyAlignment="1">
      <x:alignment wrapText="1"/>
    </x:xf>
    <x:xf numFmtId="0" fontId="9" fillId="6" borderId="0" xfId="0" applyNumberFormat="1" applyFont="1" applyFill="1" applyBorder="1" applyAlignment="1">
      <x:alignment wrapText="1"/>
    </x:xf>
    <x:xf numFmtId="0" fontId="8" fillId="0" borderId="0" xfId="0" applyNumberFormat="1" applyFont="1" applyFill="1" applyBorder="1" applyAlignment="1">
      <x:alignment vertical="center" wrapText="1"/>
    </x:xf>
    <x:xf numFmtId="0" fontId="7" fillId="3" borderId="0" xfId="0" applyNumberFormat="1" applyFont="1" applyFill="1" applyBorder="1" applyAlignment="1">
      <x:alignment vertical="center" wrapText="1"/>
    </x:xf>
    <x:xf numFmtId="0" fontId="9" fillId="4" borderId="0" xfId="0" applyNumberFormat="1" applyFont="1" applyFill="1" applyBorder="1" applyAlignment="1">
      <x:alignment vertical="center" wrapText="1"/>
    </x:xf>
    <x:xf numFmtId="0" fontId="10" fillId="4" borderId="0" xfId="0" applyNumberFormat="1" applyFont="1" applyFill="1" applyBorder="1" applyAlignment="1">
      <x:alignment vertical="center" wrapText="1"/>
    </x:xf>
    <x:xf numFmtId="0" fontId="11" fillId="5" borderId="0" xfId="0" applyNumberFormat="1" applyFont="1" applyFill="1" applyBorder="1" applyAlignment="1">
      <x:alignment vertical="center" wrapText="1"/>
    </x:xf>
    <x:xf numFmtId="0" fontId="9" fillId="6" borderId="0" xfId="0" applyNumberFormat="1" applyFont="1" applyFill="1" applyBorder="1" applyAlignment="1">
      <x:alignment vertical="center" wrapText="1"/>
    </x:xf>
    <x:xf numFmtId="0" fontId="7" fillId="2" borderId="1" xfId="0" applyNumberFormat="1" applyFont="1" applyFill="1" applyBorder="1" applyAlignment="1">
      <x:alignment vertical="center" wrapText="1"/>
    </x:xf>
    <x:xf numFmtId="0" fontId="7" fillId="2" borderId="2" xfId="0" applyNumberFormat="1" applyFont="1" applyFill="1" applyBorder="1" applyAlignment="1">
      <x:alignment vertical="center" wrapText="1"/>
    </x:xf>
    <x:xf numFmtId="0" fontId="7" fillId="2" borderId="3" xfId="0" applyNumberFormat="1" applyFont="1" applyFill="1" applyBorder="1" applyAlignment="1">
      <x:alignment vertical="center" wrapText="1"/>
    </x:xf>
    <x:xf numFmtId="0" fontId="8" fillId="0" borderId="4" xfId="0" applyNumberFormat="1" applyFont="1" applyFill="1" applyBorder="1" applyAlignment="1">
      <x:alignment wrapText="1"/>
    </x:xf>
    <x:xf numFmtId="0" fontId="8" fillId="0" borderId="5" xfId="0" applyNumberFormat="1" applyFont="1" applyFill="1" applyBorder="1" applyAlignment="1">
      <x:alignment wrapText="1"/>
    </x:xf>
    <x:xf numFmtId="200" fontId="8" fillId="0" borderId="5" xfId="0" applyNumberFormat="1" applyFont="1" applyFill="1" applyBorder="1" applyAlignment="1">
      <x:alignment wrapText="1"/>
    </x:xf>
    <x:xf numFmtId="201" fontId="8" fillId="0" borderId="5" xfId="0" applyNumberFormat="1" applyFont="1" applyFill="1" applyBorder="1" applyAlignment="1">
      <x:alignment wrapText="1"/>
    </x:xf>
    <x:xf numFmtId="0" fontId="8" fillId="0" borderId="6" xfId="0" applyNumberFormat="1" applyFont="1" applyFill="1" applyBorder="1" applyAlignment="1">
      <x:alignment wrapText="1"/>
    </x:xf>
    <x:xf numFmtId="0" fontId="8" fillId="0" borderId="7" xfId="0" applyNumberFormat="1" applyFont="1" applyFill="1" applyBorder="1" applyAlignment="1">
      <x:alignment wrapText="1"/>
    </x:xf>
    <x:xf numFmtId="0" fontId="8" fillId="0" borderId="8" xfId="0" applyNumberFormat="1" applyFont="1" applyFill="1" applyBorder="1" applyAlignment="1">
      <x:alignment wrapText="1"/>
    </x:xf>
    <x:xf numFmtId="200" fontId="8" fillId="0" borderId="8" xfId="0" applyNumberFormat="1" applyFont="1" applyFill="1" applyBorder="1" applyAlignment="1">
      <x:alignment wrapText="1"/>
    </x:xf>
    <x:xf numFmtId="201" fontId="8" fillId="0" borderId="8" xfId="0" applyNumberFormat="1" applyFont="1" applyFill="1" applyBorder="1" applyAlignment="1">
      <x:alignment wrapText="1"/>
    </x:xf>
    <x:xf numFmtId="0" fontId="8" fillId="0" borderId="9" xfId="0" applyNumberFormat="1" applyFont="1" applyFill="1" applyBorder="1" applyAlignment="1">
      <x:alignment wrapText="1"/>
    </x:xf>
    <x:xf numFmtId="0" fontId="8" fillId="0" borderId="4" xfId="0" applyNumberFormat="1" applyFont="1" applyFill="1" applyBorder="1" applyAlignment="1">
      <x:alignment vertical="center" wrapText="1"/>
    </x:xf>
    <x:xf numFmtId="0" fontId="8" fillId="0" borderId="5" xfId="0" applyNumberFormat="1" applyFont="1" applyFill="1" applyBorder="1" applyAlignment="1">
      <x:alignment vertical="center" wrapText="1"/>
    </x:xf>
    <x:xf numFmtId="200" fontId="8" fillId="0" borderId="5" xfId="0" applyNumberFormat="1" applyFont="1" applyFill="1" applyBorder="1" applyAlignment="1">
      <x:alignment vertical="center" wrapText="1"/>
    </x:xf>
    <x:xf numFmtId="201" fontId="8" fillId="0" borderId="5" xfId="0" applyNumberFormat="1" applyFont="1" applyFill="1" applyBorder="1" applyAlignment="1">
      <x:alignment vertical="center" wrapText="1"/>
    </x:xf>
    <x:xf numFmtId="0" fontId="8" fillId="0" borderId="6" xfId="0" applyNumberFormat="1" applyFont="1" applyFill="1" applyBorder="1" applyAlignment="1">
      <x:alignment vertical="center" wrapText="1"/>
    </x:xf>
    <x:xf numFmtId="0" fontId="8" fillId="0" borderId="7" xfId="0" applyNumberFormat="1" applyFont="1" applyFill="1" applyBorder="1" applyAlignment="1">
      <x:alignment vertical="center" wrapText="1"/>
    </x:xf>
    <x:xf numFmtId="0" fontId="8" fillId="0" borderId="8" xfId="0" applyNumberFormat="1" applyFont="1" applyFill="1" applyBorder="1" applyAlignment="1">
      <x:alignment vertical="center" wrapText="1"/>
    </x:xf>
    <x:xf numFmtId="200" fontId="8" fillId="0" borderId="8" xfId="0" applyNumberFormat="1" applyFont="1" applyFill="1" applyBorder="1" applyAlignment="1">
      <x:alignment vertical="center" wrapText="1"/>
    </x:xf>
    <x:xf numFmtId="201" fontId="8" fillId="0" borderId="8" xfId="0" applyNumberFormat="1" applyFont="1" applyFill="1" applyBorder="1" applyAlignment="1">
      <x:alignment vertical="center" wrapText="1"/>
    </x:xf>
    <x:xf numFmtId="0" fontId="8" fillId="0" borderId="9" xfId="0" applyNumberFormat="1" applyFont="1" applyFill="1" applyBorder="1" applyAlignment="1">
      <x:alignment vertical="center" wrapText="1"/>
    </x:xf>
    <x:xf numFmtId="0" fontId="7" fillId="2" borderId="0" xfId="0" applyNumberFormat="1" applyFont="1" applyFill="1" applyBorder="1"/>
    <x:xf numFmtId="0" fontId="8" fillId="0" borderId="1" xfId="0" applyNumberFormat="1" applyFont="1" applyFill="1" applyBorder="1" applyAlignment="1">
      <x:alignment wrapText="1"/>
    </x:xf>
    <x:xf numFmtId="0" fontId="8" fillId="0" borderId="2" xfId="0" applyNumberFormat="1" applyFont="1" applyFill="1" applyBorder="1" applyAlignment="1">
      <x:alignment wrapText="1"/>
    </x:xf>
    <x:xf numFmtId="0" fontId="8" fillId="0" borderId="3" xfId="0" applyNumberFormat="1" applyFont="1" applyFill="1" applyBorder="1" applyAlignment="1">
      <x:alignment wrapText="1"/>
    </x:xf>
    <x:xf numFmtId="0" fontId="7" fillId="2" borderId="0" xfId="0" applyNumberFormat="1" applyFont="1" applyFill="1" applyBorder="1" applyAlignment="1">
      <x:alignment vertical="center"/>
    </x:xf>
    <x:xf numFmtId="0" fontId="8" fillId="0" borderId="1" xfId="0" applyNumberFormat="1" applyFont="1" applyFill="1" applyBorder="1" applyAlignment="1">
      <x:alignment vertical="center" wrapText="1"/>
    </x:xf>
    <x:xf numFmtId="0" fontId="8" fillId="0" borderId="2" xfId="0" applyNumberFormat="1" applyFont="1" applyFill="1" applyBorder="1" applyAlignment="1">
      <x:alignment vertical="center" wrapText="1"/>
    </x:xf>
    <x:xf numFmtId="0" fontId="8" fillId="0" borderId="3" xfId="0" applyNumberFormat="1" applyFont="1" applyFill="1" applyBorder="1" applyAlignment="1">
      <x:alignment vertical="center" wrapText="1"/>
    </x:xf>
    <x:xf numFmtId="0" fontId="8" fillId="0" borderId="0" xfId="0" applyNumberFormat="1" applyFont="1" applyFill="1" applyBorder="1"/>
    <x:xf numFmtId="0" fontId="8" fillId="0" borderId="0" xfId="0" applyNumberFormat="1" applyFont="1" applyFill="1" applyBorder="1" applyAlignment="1">
      <x:alignment vertical="center"/>
    </x:xf>
  </x:cellXfs>
  <x:cellStyles count="1">
    <x:cellStyle name="Normal" xfId="0"/>
  </x:cellStyles>
  <x:dxfs count="1">
    <x:dxf>
      <x:font>
        <x:b/>
        <x:color rgb="FF155B36"/>
      </x:font>
      <x:fill>
        <x:patternFill patternType="solid">
          <x:bgColor rgb="FFDDEFE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ceda65c50884a6a" /><Relationship Type="http://schemas.openxmlformats.org/officeDocument/2006/relationships/theme" Target="/xl/theme/theme1.xml" Id="Re51862d47db744b9" /><Relationship Type="http://schemas.openxmlformats.org/officeDocument/2006/relationships/sharedStrings" Target="/xl/sharedStrings.xml" Id="Ra3dc10215b524deb" /><Relationship Type="http://schemas.openxmlformats.org/officeDocument/2006/relationships/worksheet" Target="/xl/worksheets/sheet1.xml" Id="R4de4082b09004be3" /><Relationship Type="http://schemas.openxmlformats.org/officeDocument/2006/relationships/worksheet" Target="/xl/worksheets/sheet2.xml" Id="Rccbb04752f77415f" /><Relationship Type="http://schemas.openxmlformats.org/officeDocument/2006/relationships/worksheet" Target="/xl/worksheets/sheet3.xml" Id="R57e00bdfd1f34b13" /><Relationship Type="http://schemas.openxmlformats.org/officeDocument/2006/relationships/worksheet" Target="/xl/worksheets/sheet4.xml" Id="R2342a30b38cf4eba" /><Relationship Type="http://schemas.microsoft.com/office/2017/10/relationships/person" Target="/xl/persons/person.xml" Id="R294b6577117841e7" /></Relationships>
</file>

<file path=xl/persons/person.xml><?xml version="1.0" encoding="utf-8"?>
<xltc:personList xmlns:xltc="http://schemas.microsoft.com/office/spreadsheetml/2018/threadedcomments">
  <xltc:person displayName="Fabien Bocognano" id="{16A08575-4CA2-498F-85E1-A013FCEA7B7A}"/>
</xltc:personList>
</file>

<file path=xl/tables/table1.xml><?xml version="1.0" encoding="utf-8"?>
<x:table xmlns:x="http://schemas.openxmlformats.org/spreadsheetml/2006/main" id="1" name="KeywordsTable" displayName="KeywordsTable" ref="A1:R153" headerRowCount="1" totalsRowCount="0" totalsRowShown="0">
  <x:tableColumns count="18">
    <x:tableColumn id="1" name="Mot-clé"/>
    <x:tableColumn id="2" name="Cluster"/>
    <x:tableColumn id="3" name="Intention"/>
    <x:tableColumn id="4" name="Étape funnel"/>
    <x:tableColumn id="5" name="Volume min/mois"/>
    <x:tableColumn id="6" name="Volume max/mois"/>
    <x:tableColumn id="7" name="Classe volume"/>
    <x:tableColumn id="8" name="Saisonnalité"/>
    <x:tableColumn id="9" name="KD min estimée"/>
    <x:tableColumn id="10" name="KD max estimée"/>
    <x:tableColumn id="11" name="Concurrence SEO"/>
    <x:tableColumn id="12" name="Concurrence Ads"/>
    <x:tableColumn id="13" name="Potentiel conversion (1-5)"/>
    <x:tableColumn id="14" name="Adéquation Nid d'Or (1-5)"/>
    <x:tableColumn id="15" name="Score priorité /100"/>
    <x:tableColumn id="16" name="Contenu recommandé"/>
    <x:tableColumn id="17" name="Méthode / source"/>
    <x:tableColumn id="18" name="Confiance"/>
  </x:tableColumns>
  <x:tableStyleInfo name="TableStyleMedium2" showFirstColumn="0" showLastColumn="0" showRowStripes="1" showColumnStripes="0"/>
</x:table>
</file>

<file path=xl/tables/table2.xml><?xml version="1.0" encoding="utf-8"?>
<x:table xmlns:x="http://schemas.openxmlformats.org/spreadsheetml/2006/main" id="2" name="ContentPlanTable" displayName="ContentPlanTable" ref="A1:G16" headerRowCount="1" totalsRowCount="0" totalsRowShown="0">
  <x:tableColumns count="7">
    <x:tableColumn id="1" name="Priorité"/>
    <x:tableColumn id="2" name="Titre recommandé"/>
    <x:tableColumn id="3" name="Mot-clé principal"/>
    <x:tableColumn id="4" name="Format"/>
    <x:tableColumn id="5" name="Cluster"/>
    <x:tableColumn id="6" name="Slug"/>
    <x:tableColumn id="7" name="Maillage / CTA"/>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6e1e9713df5b4d89" /></Relationships>
</file>

<file path=xl/worksheets/_rels/sheet3.xml.rels>&#65279;<?xml version="1.0" encoding="utf-8"?><Relationships xmlns="http://schemas.openxmlformats.org/package/2006/relationships"><Relationship Type="http://schemas.openxmlformats.org/officeDocument/2006/relationships/table" Target="/xl/tables/table2.xml" Id="Rc6ae5f838dda42cf"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21" hidden="0" customWidth="1"/>
    <x:col min="5" max="5" width="21" hidden="0" customWidth="1"/>
    <x:col min="6" max="6" width="21" hidden="0" customWidth="1"/>
    <x:col min="7" max="7" width="21" hidden="0" customWidth="1"/>
    <x:col min="8" max="8" width="21" hidden="0" customWidth="1"/>
  </x:cols>
  <x:sheetData>
    <x:row r="1">
      <x:c r="A1" s="53" t="str">
        <x:v>Étude de mots-clés - Le Nid d'Or, Hyères</x:v>
      </x:c>
      <x:c r="B1" s="53"/>
      <x:c r="C1" s="53"/>
      <x:c r="D1" s="53"/>
      <x:c r="E1" s="53"/>
      <x:c r="F1" s="53"/>
      <x:c r="G1" s="53"/>
      <x:c r="H1" s="53"/>
    </x:row>
    <x:row r="2">
      <x:c r="A2" s="53"/>
      <x:c r="B2" s="53"/>
      <x:c r="C2" s="53"/>
      <x:c r="D2" s="53"/>
      <x:c r="E2" s="53"/>
      <x:c r="F2" s="53"/>
      <x:c r="G2" s="53"/>
      <x:c r="H2" s="53"/>
    </x:row>
    <x:row r="3">
      <x:c r="A3" s="61"/>
      <x:c r="B3" s="61"/>
      <x:c r="C3" s="61"/>
      <x:c r="D3" s="61"/>
      <x:c r="E3" s="61"/>
      <x:c r="F3" s="61"/>
      <x:c r="G3" s="61"/>
      <x:c r="H3" s="61"/>
    </x:row>
    <x:row r="4">
      <x:c r="A4" s="62" t="str">
        <x:v>Indicateur</x:v>
      </x:c>
      <x:c r="B4" s="62" t="str">
        <x:v>Valeur</x:v>
      </x:c>
      <x:c r="C4" s="61"/>
      <x:c r="D4" s="62" t="str">
        <x:v>Lecture indispensable</x:v>
      </x:c>
      <x:c r="E4" s="62"/>
      <x:c r="F4" s="62"/>
      <x:c r="G4" s="62"/>
      <x:c r="H4" s="62"/>
    </x:row>
    <x:row r="5">
      <x:c r="A5" s="63" t="str">
        <x:v>Mots-clés cartographiés</x:v>
      </x:c>
      <x:c r="B5" s="61" t="n">
        <x:v>152</x:v>
      </x:c>
      <x:c r="C5" s="61"/>
      <x:c r="D5" s="64" t="str">
        <x:v>Les volumes et KD sont des fourchettes estimatives, pas des exports Google Ads. Elles servent à hiérarchiser le plan. Pour obtenir des chiffres exacts au mot près, importer ensuite un export Keyword Planner France, français, moyenne 12 mois. La concurrence Ads est distincte de la difficulté SEO.</x:v>
      </x:c>
      <x:c r="E5" s="64"/>
      <x:c r="F5" s="64"/>
      <x:c r="G5" s="64"/>
      <x:c r="H5" s="64"/>
    </x:row>
    <x:row r="6">
      <x:c r="A6" s="63" t="str">
        <x:v>Clusters éditoriaux</x:v>
      </x:c>
      <x:c r="B6" s="61" t="n">
        <x:v>12</x:v>
      </x:c>
      <x:c r="C6" s="61"/>
      <x:c r="D6" s="64"/>
      <x:c r="E6" s="64"/>
      <x:c r="F6" s="64"/>
      <x:c r="G6" s="64"/>
      <x:c r="H6" s="64"/>
    </x:row>
    <x:row r="7">
      <x:c r="A7" s="63" t="str">
        <x:v>Cible principale</x:v>
      </x:c>
      <x:c r="B7" s="61" t="str">
        <x:v>Couples / séjour calme</x:v>
      </x:c>
      <x:c r="C7" s="61"/>
      <x:c r="D7" s="64"/>
      <x:c r="E7" s="64"/>
      <x:c r="F7" s="64"/>
      <x:c r="G7" s="64"/>
      <x:c r="H7" s="64"/>
    </x:row>
    <x:row r="8">
      <x:c r="A8" s="63" t="str">
        <x:v>Zone</x:v>
      </x:c>
      <x:c r="B8" s="61" t="str">
        <x:v>Hyères + îles + alentours</x:v>
      </x:c>
      <x:c r="C8" s="61"/>
      <x:c r="D8" s="64"/>
      <x:c r="E8" s="64"/>
      <x:c r="F8" s="64"/>
      <x:c r="G8" s="64"/>
      <x:c r="H8" s="64"/>
    </x:row>
    <x:row r="9">
      <x:c r="A9" s="61"/>
      <x:c r="B9" s="61"/>
      <x:c r="C9" s="61"/>
      <x:c r="D9" s="61"/>
      <x:c r="E9" s="61"/>
      <x:c r="F9" s="61"/>
      <x:c r="G9" s="61"/>
      <x:c r="H9" s="61"/>
    </x:row>
    <x:row r="10">
      <x:c r="A10" s="61"/>
      <x:c r="B10" s="61"/>
      <x:c r="C10" s="61"/>
      <x:c r="D10" s="61"/>
      <x:c r="E10" s="61"/>
      <x:c r="F10" s="61"/>
      <x:c r="G10" s="61"/>
      <x:c r="H10" s="61"/>
    </x:row>
    <x:row r="11">
      <x:c r="A11" s="53" t="str">
        <x:v>Priorité</x:v>
      </x:c>
      <x:c r="B11" s="53" t="str">
        <x:v>Cluster</x:v>
      </x:c>
      <x:c r="C11" s="53" t="str">
        <x:v>Rôle</x:v>
      </x:c>
      <x:c r="D11" s="53" t="str">
        <x:v>Pourquoi</x:v>
      </x:c>
      <x:c r="E11" s="53" t="str">
        <x:v>Type de page</x:v>
      </x:c>
      <x:c r="F11" s="53" t="str">
        <x:v>Ordre</x:v>
      </x:c>
      <x:c r="G11" s="61"/>
      <x:c r="H11" s="61"/>
    </x:row>
    <x:row r="12">
      <x:c r="A12" s="65" t="str">
        <x:v>P1</x:v>
      </x:c>
      <x:c r="B12" s="61" t="str">
        <x:v>Découvrir Hyères</x:v>
      </x:c>
      <x:c r="C12" s="61" t="str">
        <x:v>Audience large</x:v>
      </x:c>
      <x:c r="D12" s="61" t="str">
        <x:v>Porte d'entrée vers tout le cocon</x:v>
      </x:c>
      <x:c r="E12" s="61" t="str">
        <x:v>Guide pilier</x:v>
      </x:c>
      <x:c r="F12" s="61" t="n">
        <x:v>1</x:v>
      </x:c>
      <x:c r="G12" s="61"/>
      <x:c r="H12" s="61"/>
    </x:row>
    <x:row r="13">
      <x:c r="A13" s="65" t="str">
        <x:v>P1</x:v>
      </x:c>
      <x:c r="B13" s="61" t="str">
        <x:v>Porquerolles</x:v>
      </x:c>
      <x:c r="C13" s="61" t="str">
        <x:v>Très gros potentiel</x:v>
      </x:c>
      <x:c r="D13" s="61" t="str">
        <x:v>Demande forte + proximité naturelle</x:v>
      </x:c>
      <x:c r="E13" s="61" t="str">
        <x:v>Guide pilier + sous-guides</x:v>
      </x:c>
      <x:c r="F13" s="61" t="n">
        <x:v>2</x:v>
      </x:c>
      <x:c r="G13" s="61"/>
      <x:c r="H13" s="61"/>
    </x:row>
    <x:row r="14">
      <x:c r="A14" s="65" t="str">
        <x:v>P1</x:v>
      </x:c>
      <x:c r="B14" s="61" t="str">
        <x:v>Plages &amp; criques</x:v>
      </x:c>
      <x:c r="C14" s="61" t="str">
        <x:v>Audience + désir</x:v>
      </x:c>
      <x:c r="D14" s="61" t="str">
        <x:v>Très proche de la promesse du Nid d'Or</x:v>
      </x:c>
      <x:c r="E14" s="61" t="str">
        <x:v>Guide comparatif</x:v>
      </x:c>
      <x:c r="F14" s="61" t="n">
        <x:v>3</x:v>
      </x:c>
      <x:c r="G14" s="61"/>
      <x:c r="H14" s="61"/>
    </x:row>
    <x:row r="15">
      <x:c r="A15" s="65" t="str">
        <x:v>P1</x:v>
      </x:c>
      <x:c r="B15" s="61" t="str">
        <x:v>Giens &amp; sentier littoral</x:v>
      </x:c>
      <x:c r="C15" s="61" t="str">
        <x:v>Différenciation locale</x:v>
      </x:c>
      <x:c r="D15" s="61" t="str">
        <x:v>Nature, calme et couple</x:v>
      </x:c>
      <x:c r="E15" s="61" t="str">
        <x:v>Guide pilier</x:v>
      </x:c>
      <x:c r="F15" s="61" t="n">
        <x:v>4</x:v>
      </x:c>
      <x:c r="G15" s="61"/>
      <x:c r="H15" s="61"/>
    </x:row>
    <x:row r="16">
      <x:c r="A16" s="65" t="str">
        <x:v>P1</x:v>
      </x:c>
      <x:c r="B16" s="61" t="str">
        <x:v>Hébergement &amp; réservation</x:v>
      </x:c>
      <x:c r="C16" s="61" t="str">
        <x:v>Conversion</x:v>
      </x:c>
      <x:c r="D16" s="61" t="str">
        <x:v>Amène vers la réservation directe</x:v>
      </x:c>
      <x:c r="E16" s="61" t="str">
        <x:v>Pages commerciales</x:v>
      </x:c>
      <x:c r="F16" s="61" t="n">
        <x:v>5</x:v>
      </x:c>
      <x:c r="G16" s="61"/>
      <x:c r="H16" s="61"/>
    </x:row>
    <x:row r="17">
      <x:c r="A17" s="66" t="str">
        <x:v>P2</x:v>
      </x:c>
      <x:c r="B17" s="61" t="str">
        <x:v>Restaurants &amp; sorties</x:v>
      </x:c>
      <x:c r="C17" s="61" t="str">
        <x:v>Considération</x:v>
      </x:c>
      <x:c r="D17" s="61" t="str">
        <x:v>Recherches fréquentes pendant le séjour</x:v>
      </x:c>
      <x:c r="E17" s="61" t="str">
        <x:v>Sélections locales</x:v>
      </x:c>
      <x:c r="F17" s="61" t="n">
        <x:v>6</x:v>
      </x:c>
      <x:c r="G17" s="61"/>
      <x:c r="H17" s="61"/>
    </x:row>
    <x:row r="18">
      <x:c r="A18" s="66" t="str">
        <x:v>P2</x:v>
      </x:c>
      <x:c r="B18" s="61" t="str">
        <x:v>Randonnées &amp; nature</x:v>
      </x:c>
      <x:c r="C18" s="61" t="str">
        <x:v>Affinité cible</x:v>
      </x:c>
      <x:c r="D18" s="61" t="str">
        <x:v>Cohérent avec repos et nature</x:v>
      </x:c>
      <x:c r="E18" s="61" t="str">
        <x:v>Guides pratiques</x:v>
      </x:c>
      <x:c r="F18" s="61" t="n">
        <x:v>7</x:v>
      </x:c>
      <x:c r="G18" s="61"/>
      <x:c r="H18" s="61"/>
    </x:row>
    <x:row r="19">
      <x:c r="A19" s="66" t="str">
        <x:v>P2</x:v>
      </x:c>
      <x:c r="B19" s="61" t="str">
        <x:v>Activités &amp; nautisme</x:v>
      </x:c>
      <x:c r="C19" s="61" t="str">
        <x:v>Considération</x:v>
      </x:c>
      <x:c r="D19" s="61" t="str">
        <x:v>Complète le séjour</x:v>
      </x:c>
      <x:c r="E19" s="61" t="str">
        <x:v>Guides comparatifs</x:v>
      </x:c>
      <x:c r="F19" s="61" t="n">
        <x:v>8</x:v>
      </x:c>
      <x:c r="G19" s="61"/>
      <x:c r="H19" s="61"/>
    </x:row>
    <x:row r="20">
      <x:c r="A20" s="63" t="str">
        <x:v>P3</x:v>
      </x:c>
      <x:c r="B20" s="61" t="str">
        <x:v>Port-Cros &amp; Levant</x:v>
      </x:c>
      <x:c r="C20" s="61" t="str">
        <x:v>Extension d'autorité</x:v>
      </x:c>
      <x:c r="D20" s="61" t="str">
        <x:v>Moins direct mais pertinent</x:v>
      </x:c>
      <x:c r="E20" s="61" t="str">
        <x:v>Guides destination</x:v>
      </x:c>
      <x:c r="F20" s="61" t="n">
        <x:v>9</x:v>
      </x:c>
      <x:c r="G20" s="61"/>
      <x:c r="H20" s="61"/>
    </x:row>
    <x:row r="21">
      <x:c r="A21" s="63" t="str">
        <x:v>P3</x:v>
      </x:c>
      <x:c r="B21" s="61" t="str">
        <x:v>Autour de Hyères</x:v>
      </x:c>
      <x:c r="C21" s="61" t="str">
        <x:v>Extension géographique</x:v>
      </x:c>
      <x:c r="D21" s="61" t="str">
        <x:v>Capte les séjours plus longs</x:v>
      </x:c>
      <x:c r="E21" s="61" t="str">
        <x:v>Excursions</x:v>
      </x:c>
      <x:c r="F21" s="61" t="n">
        <x:v>10</x:v>
      </x:c>
      <x:c r="G21" s="61"/>
      <x:c r="H21" s="61"/>
    </x:row>
  </x:sheetData>
  <x:mergeCells>
    <x:mergeCell ref="A1:H2"/>
    <x:mergeCell ref="D4:H4"/>
    <x:mergeCell ref="D5:H8"/>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18" hidden="0" customWidth="1"/>
    <x:col min="3" max="3" width="18" hidden="0" customWidth="1"/>
    <x:col min="4" max="4" width="18"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38" hidden="0" customWidth="1"/>
    <x:col min="17" max="17" width="42" hidden="0" customWidth="1"/>
    <x:col min="18" max="18" width="13" hidden="0" customWidth="1"/>
  </x:cols>
  <x:sheetData>
    <x:row r="1">
      <x:c r="A1" s="67" t="str">
        <x:v>Mot-clé</x:v>
      </x:c>
      <x:c r="B1" s="68" t="str">
        <x:v>Cluster</x:v>
      </x:c>
      <x:c r="C1" s="68" t="str">
        <x:v>Intention</x:v>
      </x:c>
      <x:c r="D1" s="68" t="str">
        <x:v>Étape funnel</x:v>
      </x:c>
      <x:c r="E1" s="68" t="str">
        <x:v>Volume min/mois</x:v>
      </x:c>
      <x:c r="F1" s="68" t="str">
        <x:v>Volume max/mois</x:v>
      </x:c>
      <x:c r="G1" s="68" t="str">
        <x:v>Classe volume</x:v>
      </x:c>
      <x:c r="H1" s="68" t="str">
        <x:v>Saisonnalité</x:v>
      </x:c>
      <x:c r="I1" s="68" t="str">
        <x:v>KD min estimée</x:v>
      </x:c>
      <x:c r="J1" s="68" t="str">
        <x:v>KD max estimée</x:v>
      </x:c>
      <x:c r="K1" s="68" t="str">
        <x:v>Concurrence SEO</x:v>
      </x:c>
      <x:c r="L1" s="68" t="str">
        <x:v>Concurrence Ads</x:v>
      </x:c>
      <x:c r="M1" s="68" t="str">
        <x:v>Potentiel conversion (1-5)</x:v>
      </x:c>
      <x:c r="N1" s="68" t="str">
        <x:v>Adéquation Nid d'Or (1-5)</x:v>
      </x:c>
      <x:c r="O1" s="68" t="str">
        <x:v>Score priorité /100</x:v>
      </x:c>
      <x:c r="P1" s="68" t="str">
        <x:v>Contenu recommandé</x:v>
      </x:c>
      <x:c r="Q1" s="68" t="str">
        <x:v>Méthode / source</x:v>
      </x:c>
      <x:c r="R1" s="69" t="str">
        <x:v>Confiance</x:v>
      </x:c>
    </x:row>
    <x:row r="2">
      <x:c r="A2" s="80" t="str">
        <x:v>que faire à Hyères</x:v>
      </x:c>
      <x:c r="B2" s="81" t="str">
        <x:v>Découvrir Hyères</x:v>
      </x:c>
      <x:c r="C2" s="81" t="str">
        <x:v>Informationnel</x:v>
      </x:c>
      <x:c r="D2" s="81" t="str">
        <x:v>Découverte</x:v>
      </x:c>
      <x:c r="E2" s="82" t="n">
        <x:v>1000</x:v>
      </x:c>
      <x:c r="F2" s="82" t="n">
        <x:v>5000</x:v>
      </x:c>
      <x:c r="G2" s="81" t="str">
        <x:v>Élevé</x:v>
      </x:c>
      <x:c r="H2" s="81" t="str">
        <x:v>Toute l'année</x:v>
      </x:c>
      <x:c r="I2" s="83" t="n">
        <x:v>30</x:v>
      </x:c>
      <x:c r="J2" s="83" t="n">
        <x:v>50</x:v>
      </x:c>
      <x:c r="K2" s="81" t="str">
        <x:v>Moyenne</x:v>
      </x:c>
      <x:c r="L2" s="81" t="str">
        <x:v>Faible</x:v>
      </x:c>
      <x:c r="M2" s="83" t="n">
        <x:v>4</x:v>
      </x:c>
      <x:c r="N2" s="83" t="n">
        <x:v>5</x:v>
      </x:c>
      <x:c r="O2" s="83" t="n">
        <x:f>ROUND((MIN(5,LN((E2+F2)/2+1)/2.3)*20)*0.25+(N2*20)*0.30+(M2*20)*0.25+((100-(I2+J2)/2))*0.20,0)</x:f>
        <x:v>79</x:v>
      </x:c>
      <x:c r="P2" s="81" t="str">
        <x:v>Guide pilier : que faire à Hyères ?</x:v>
      </x:c>
      <x:c r="Q2" s="81" t="str">
        <x:v>SERP Google + intentions touristiques, estimation à valider dans Keyword Planner</x:v>
      </x:c>
      <x:c r="R2" s="84" t="str">
        <x:v>Moyenne</x:v>
      </x:c>
    </x:row>
    <x:row r="3">
      <x:c r="A3" s="80" t="str">
        <x:v>visiter Hyères</x:v>
      </x:c>
      <x:c r="B3" s="81" t="str">
        <x:v>Découvrir Hyères</x:v>
      </x:c>
      <x:c r="C3" s="81" t="str">
        <x:v>Informationnel</x:v>
      </x:c>
      <x:c r="D3" s="81" t="str">
        <x:v>Découverte</x:v>
      </x:c>
      <x:c r="E3" s="82" t="n">
        <x:v>500</x:v>
      </x:c>
      <x:c r="F3" s="82" t="n">
        <x:v>2000</x:v>
      </x:c>
      <x:c r="G3" s="81" t="str">
        <x:v>Moyen</x:v>
      </x:c>
      <x:c r="H3" s="81" t="str">
        <x:v>Toute l'année</x:v>
      </x:c>
      <x:c r="I3" s="83" t="n">
        <x:v>30</x:v>
      </x:c>
      <x:c r="J3" s="83" t="n">
        <x:v>50</x:v>
      </x:c>
      <x:c r="K3" s="81" t="str">
        <x:v>Moyenne</x:v>
      </x:c>
      <x:c r="L3" s="81" t="str">
        <x:v>Faible</x:v>
      </x:c>
      <x:c r="M3" s="83" t="n">
        <x:v>4</x:v>
      </x:c>
      <x:c r="N3" s="83" t="n">
        <x:v>5</x:v>
      </x:c>
      <x:c r="O3" s="83" t="n">
        <x:f>ROUND((MIN(5,LN((E3+F3)/2+1)/2.3)*20)*0.25+(N3*20)*0.30+(M3*20)*0.25+((100-(I3+J3)/2))*0.20,0)</x:f>
        <x:v>78</x:v>
      </x:c>
      <x:c r="P3" s="81" t="str">
        <x:v>Visiter Hyères : les incontournables</x:v>
      </x:c>
      <x:c r="Q3" s="81" t="str">
        <x:v>SERP Google + intentions touristiques, estimation à valider dans Keyword Planner</x:v>
      </x:c>
      <x:c r="R3" s="84" t="str">
        <x:v>Moyenne</x:v>
      </x:c>
    </x:row>
    <x:row r="4">
      <x:c r="A4" s="80" t="str">
        <x:v>Hyères tourisme</x:v>
      </x:c>
      <x:c r="B4" s="81" t="str">
        <x:v>Découvrir Hyères</x:v>
      </x:c>
      <x:c r="C4" s="81" t="str">
        <x:v>Informationnel</x:v>
      </x:c>
      <x:c r="D4" s="81" t="str">
        <x:v>Découverte</x:v>
      </x:c>
      <x:c r="E4" s="82" t="n">
        <x:v>1000</x:v>
      </x:c>
      <x:c r="F4" s="82" t="n">
        <x:v>5000</x:v>
      </x:c>
      <x:c r="G4" s="81" t="str">
        <x:v>Élevé</x:v>
      </x:c>
      <x:c r="H4" s="81" t="str">
        <x:v>Toute l'année</x:v>
      </x:c>
      <x:c r="I4" s="83" t="n">
        <x:v>30</x:v>
      </x:c>
      <x:c r="J4" s="83" t="n">
        <x:v>50</x:v>
      </x:c>
      <x:c r="K4" s="81" t="str">
        <x:v>Moyenne</x:v>
      </x:c>
      <x:c r="L4" s="81" t="str">
        <x:v>Faible</x:v>
      </x:c>
      <x:c r="M4" s="83" t="n">
        <x:v>4</x:v>
      </x:c>
      <x:c r="N4" s="83" t="n">
        <x:v>5</x:v>
      </x:c>
      <x:c r="O4" s="83" t="n">
        <x:f>ROUND((MIN(5,LN((E4+F4)/2+1)/2.3)*20)*0.25+(N4*20)*0.30+(M4*20)*0.25+((100-(I4+J4)/2))*0.20,0)</x:f>
        <x:v>79</x:v>
      </x:c>
      <x:c r="P4" s="81" t="str">
        <x:v>Guide complet pour préparer un séjour à Hyères</x:v>
      </x:c>
      <x:c r="Q4" s="81" t="str">
        <x:v>SERP Google + intentions touristiques, estimation à valider dans Keyword Planner</x:v>
      </x:c>
      <x:c r="R4" s="84" t="str">
        <x:v>Moyenne</x:v>
      </x:c>
    </x:row>
    <x:row r="5">
      <x:c r="A5" s="80" t="str">
        <x:v>Hyères que voir</x:v>
      </x:c>
      <x:c r="B5" s="81" t="str">
        <x:v>Découvrir Hyères</x:v>
      </x:c>
      <x:c r="C5" s="81" t="str">
        <x:v>Informationnel</x:v>
      </x:c>
      <x:c r="D5" s="81" t="str">
        <x:v>Découverte</x:v>
      </x:c>
      <x:c r="E5" s="82" t="n">
        <x:v>100</x:v>
      </x:c>
      <x:c r="F5" s="82" t="n">
        <x:v>500</x:v>
      </x:c>
      <x:c r="G5" s="81" t="str">
        <x:v>Faible à moyen</x:v>
      </x:c>
      <x:c r="H5" s="81" t="str">
        <x:v>Toute l'année</x:v>
      </x:c>
      <x:c r="I5" s="83" t="n">
        <x:v>30</x:v>
      </x:c>
      <x:c r="J5" s="83" t="n">
        <x:v>50</x:v>
      </x:c>
      <x:c r="K5" s="81" t="str">
        <x:v>Moyenne</x:v>
      </x:c>
      <x:c r="L5" s="81" t="str">
        <x:v>Faible</x:v>
      </x:c>
      <x:c r="M5" s="83" t="n">
        <x:v>4</x:v>
      </x:c>
      <x:c r="N5" s="83" t="n">
        <x:v>5</x:v>
      </x:c>
      <x:c r="O5" s="83" t="n">
        <x:f>ROUND((MIN(5,LN((E5+F5)/2+1)/2.3)*20)*0.25+(N5*20)*0.30+(M5*20)*0.25+((100-(I5+J5)/2))*0.20,0)</x:f>
        <x:v>74</x:v>
      </x:c>
      <x:c r="P5" s="81" t="str">
        <x:v>Que voir à Hyères en 1, 2 ou 3 jours</x:v>
      </x:c>
      <x:c r="Q5" s="81" t="str">
        <x:v>SERP Google + intentions touristiques, estimation à valider dans Keyword Planner</x:v>
      </x:c>
      <x:c r="R5" s="84" t="str">
        <x:v>Moyenne</x:v>
      </x:c>
    </x:row>
    <x:row r="6">
      <x:c r="A6" s="80" t="str">
        <x:v>Hyères en 2 jours</x:v>
      </x:c>
      <x:c r="B6" s="81" t="str">
        <x:v>Découvrir Hyères</x:v>
      </x:c>
      <x:c r="C6" s="81" t="str">
        <x:v>Informationnel</x:v>
      </x:c>
      <x:c r="D6" s="81" t="str">
        <x:v>Découverte</x:v>
      </x:c>
      <x:c r="E6" s="82" t="n">
        <x:v>50</x:v>
      </x:c>
      <x:c r="F6" s="82" t="n">
        <x:v>200</x:v>
      </x:c>
      <x:c r="G6" s="81" t="str">
        <x:v>Longue traîne</x:v>
      </x:c>
      <x:c r="H6" s="81" t="str">
        <x:v>Toute l'année</x:v>
      </x:c>
      <x:c r="I6" s="83" t="n">
        <x:v>30</x:v>
      </x:c>
      <x:c r="J6" s="83" t="n">
        <x:v>50</x:v>
      </x:c>
      <x:c r="K6" s="81" t="str">
        <x:v>Moyenne</x:v>
      </x:c>
      <x:c r="L6" s="81" t="str">
        <x:v>Faible</x:v>
      </x:c>
      <x:c r="M6" s="83" t="n">
        <x:v>4</x:v>
      </x:c>
      <x:c r="N6" s="83" t="n">
        <x:v>5</x:v>
      </x:c>
      <x:c r="O6" s="83" t="n">
        <x:f>ROUND((MIN(5,LN((E6+F6)/2+1)/2.3)*20)*0.25+(N6*20)*0.30+(M6*20)*0.25+((100-(I6+J6)/2))*0.20,0)</x:f>
        <x:v>73</x:v>
      </x:c>
      <x:c r="P6" s="81" t="str">
        <x:v>Week-end à Hyères : itinéraire de 2 jours</x:v>
      </x:c>
      <x:c r="Q6" s="81" t="str">
        <x:v>SERP Google + intentions touristiques, estimation à valider dans Keyword Planner</x:v>
      </x:c>
      <x:c r="R6" s="84" t="str">
        <x:v>Moyenne</x:v>
      </x:c>
    </x:row>
    <x:row r="7">
      <x:c r="A7" s="80" t="str">
        <x:v>Hyères en 3 jours</x:v>
      </x:c>
      <x:c r="B7" s="81" t="str">
        <x:v>Découvrir Hyères</x:v>
      </x:c>
      <x:c r="C7" s="81" t="str">
        <x:v>Informationnel</x:v>
      </x:c>
      <x:c r="D7" s="81" t="str">
        <x:v>Découverte</x:v>
      </x:c>
      <x:c r="E7" s="82" t="n">
        <x:v>50</x:v>
      </x:c>
      <x:c r="F7" s="82" t="n">
        <x:v>200</x:v>
      </x:c>
      <x:c r="G7" s="81" t="str">
        <x:v>Longue traîne</x:v>
      </x:c>
      <x:c r="H7" s="81" t="str">
        <x:v>Toute l'année</x:v>
      </x:c>
      <x:c r="I7" s="83" t="n">
        <x:v>30</x:v>
      </x:c>
      <x:c r="J7" s="83" t="n">
        <x:v>50</x:v>
      </x:c>
      <x:c r="K7" s="81" t="str">
        <x:v>Moyenne</x:v>
      </x:c>
      <x:c r="L7" s="81" t="str">
        <x:v>Faible</x:v>
      </x:c>
      <x:c r="M7" s="83" t="n">
        <x:v>4</x:v>
      </x:c>
      <x:c r="N7" s="83" t="n">
        <x:v>5</x:v>
      </x:c>
      <x:c r="O7" s="83" t="n">
        <x:f>ROUND((MIN(5,LN((E7+F7)/2+1)/2.3)*20)*0.25+(N7*20)*0.30+(M7*20)*0.25+((100-(I7+J7)/2))*0.20,0)</x:f>
        <x:v>73</x:v>
      </x:c>
      <x:c r="P7" s="81" t="str">
        <x:v>3 jours à Hyères : itinéraire sans courir</x:v>
      </x:c>
      <x:c r="Q7" s="81" t="str">
        <x:v>SERP Google + intentions touristiques, estimation à valider dans Keyword Planner</x:v>
      </x:c>
      <x:c r="R7" s="84" t="str">
        <x:v>Moyenne</x:v>
      </x:c>
    </x:row>
    <x:row r="8">
      <x:c r="A8" s="80" t="str">
        <x:v>week-end Hyères</x:v>
      </x:c>
      <x:c r="B8" s="81" t="str">
        <x:v>Découvrir Hyères</x:v>
      </x:c>
      <x:c r="C8" s="81" t="str">
        <x:v>Informationnel</x:v>
      </x:c>
      <x:c r="D8" s="81" t="str">
        <x:v>Découverte</x:v>
      </x:c>
      <x:c r="E8" s="82" t="n">
        <x:v>100</x:v>
      </x:c>
      <x:c r="F8" s="82" t="n">
        <x:v>500</x:v>
      </x:c>
      <x:c r="G8" s="81" t="str">
        <x:v>Faible à moyen</x:v>
      </x:c>
      <x:c r="H8" s="81" t="str">
        <x:v>Toute l'année</x:v>
      </x:c>
      <x:c r="I8" s="83" t="n">
        <x:v>30</x:v>
      </x:c>
      <x:c r="J8" s="83" t="n">
        <x:v>50</x:v>
      </x:c>
      <x:c r="K8" s="81" t="str">
        <x:v>Moyenne</x:v>
      </x:c>
      <x:c r="L8" s="81" t="str">
        <x:v>Faible</x:v>
      </x:c>
      <x:c r="M8" s="83" t="n">
        <x:v>4</x:v>
      </x:c>
      <x:c r="N8" s="83" t="n">
        <x:v>5</x:v>
      </x:c>
      <x:c r="O8" s="83" t="n">
        <x:f>ROUND((MIN(5,LN((E8+F8)/2+1)/2.3)*20)*0.25+(N8*20)*0.30+(M8*20)*0.25+((100-(I8+J8)/2))*0.20,0)</x:f>
        <x:v>74</x:v>
      </x:c>
      <x:c r="P8" s="81" t="str">
        <x:v>Week-end en amoureux à Hyères</x:v>
      </x:c>
      <x:c r="Q8" s="81" t="str">
        <x:v>SERP Google + intentions touristiques, estimation à valider dans Keyword Planner</x:v>
      </x:c>
      <x:c r="R8" s="84" t="str">
        <x:v>Moyenne</x:v>
      </x:c>
    </x:row>
    <x:row r="9">
      <x:c r="A9" s="80" t="str">
        <x:v>Hyères en amoureux</x:v>
      </x:c>
      <x:c r="B9" s="81" t="str">
        <x:v>Découvrir Hyères</x:v>
      </x:c>
      <x:c r="C9" s="81" t="str">
        <x:v>Informationnel</x:v>
      </x:c>
      <x:c r="D9" s="81" t="str">
        <x:v>Découverte</x:v>
      </x:c>
      <x:c r="E9" s="82" t="n">
        <x:v>20</x:v>
      </x:c>
      <x:c r="F9" s="82" t="n">
        <x:v>100</x:v>
      </x:c>
      <x:c r="G9" s="81" t="str">
        <x:v>Longue traîne</x:v>
      </x:c>
      <x:c r="H9" s="81" t="str">
        <x:v>Toute l'année</x:v>
      </x:c>
      <x:c r="I9" s="83" t="n">
        <x:v>30</x:v>
      </x:c>
      <x:c r="J9" s="83" t="n">
        <x:v>50</x:v>
      </x:c>
      <x:c r="K9" s="81" t="str">
        <x:v>Moyenne</x:v>
      </x:c>
      <x:c r="L9" s="81" t="str">
        <x:v>Faible</x:v>
      </x:c>
      <x:c r="M9" s="83" t="n">
        <x:v>4</x:v>
      </x:c>
      <x:c r="N9" s="83" t="n">
        <x:v>5</x:v>
      </x:c>
      <x:c r="O9" s="83" t="n">
        <x:f>ROUND((MIN(5,LN((E9+F9)/2+1)/2.3)*20)*0.25+(N9*20)*0.30+(M9*20)*0.25+((100-(I9+J9)/2))*0.20,0)</x:f>
        <x:v>71</x:v>
      </x:c>
      <x:c r="P9" s="81" t="str">
        <x:v>Hyères en amoureux : 12 idées à deux</x:v>
      </x:c>
      <x:c r="Q9" s="81" t="str">
        <x:v>SERP Google + intentions touristiques, estimation à valider dans Keyword Planner</x:v>
      </x:c>
      <x:c r="R9" s="84" t="str">
        <x:v>Moyenne</x:v>
      </x:c>
    </x:row>
    <x:row r="10">
      <x:c r="A10" s="80" t="str">
        <x:v>Hyères hors saison</x:v>
      </x:c>
      <x:c r="B10" s="81" t="str">
        <x:v>Découvrir Hyères</x:v>
      </x:c>
      <x:c r="C10" s="81" t="str">
        <x:v>Informationnel</x:v>
      </x:c>
      <x:c r="D10" s="81" t="str">
        <x:v>Découverte</x:v>
      </x:c>
      <x:c r="E10" s="82" t="n">
        <x:v>20</x:v>
      </x:c>
      <x:c r="F10" s="82" t="n">
        <x:v>100</x:v>
      </x:c>
      <x:c r="G10" s="81" t="str">
        <x:v>Longue traîne</x:v>
      </x:c>
      <x:c r="H10" s="81" t="str">
        <x:v>Toute l'année</x:v>
      </x:c>
      <x:c r="I10" s="83" t="n">
        <x:v>30</x:v>
      </x:c>
      <x:c r="J10" s="83" t="n">
        <x:v>50</x:v>
      </x:c>
      <x:c r="K10" s="81" t="str">
        <x:v>Moyenne</x:v>
      </x:c>
      <x:c r="L10" s="81" t="str">
        <x:v>Faible</x:v>
      </x:c>
      <x:c r="M10" s="83" t="n">
        <x:v>4</x:v>
      </x:c>
      <x:c r="N10" s="83" t="n">
        <x:v>5</x:v>
      </x:c>
      <x:c r="O10" s="83" t="n">
        <x:f>ROUND((MIN(5,LN((E10+F10)/2+1)/2.3)*20)*0.25+(N10*20)*0.30+(M10*20)*0.25+((100-(I10+J10)/2))*0.20,0)</x:f>
        <x:v>71</x:v>
      </x:c>
      <x:c r="P10" s="81" t="str">
        <x:v>Pourquoi venir à Hyères hors saison</x:v>
      </x:c>
      <x:c r="Q10" s="81" t="str">
        <x:v>SERP Google + intentions touristiques, estimation à valider dans Keyword Planner</x:v>
      </x:c>
      <x:c r="R10" s="84" t="str">
        <x:v>Moyenne</x:v>
      </x:c>
    </x:row>
    <x:row r="11">
      <x:c r="A11" s="80" t="str">
        <x:v>Hyères quand il pleut</x:v>
      </x:c>
      <x:c r="B11" s="81" t="str">
        <x:v>Découvrir Hyères</x:v>
      </x:c>
      <x:c r="C11" s="81" t="str">
        <x:v>Informationnel</x:v>
      </x:c>
      <x:c r="D11" s="81" t="str">
        <x:v>Découverte</x:v>
      </x:c>
      <x:c r="E11" s="82" t="n">
        <x:v>50</x:v>
      </x:c>
      <x:c r="F11" s="82" t="n">
        <x:v>200</x:v>
      </x:c>
      <x:c r="G11" s="81" t="str">
        <x:v>Longue traîne</x:v>
      </x:c>
      <x:c r="H11" s="81" t="str">
        <x:v>Toute l'année</x:v>
      </x:c>
      <x:c r="I11" s="83" t="n">
        <x:v>30</x:v>
      </x:c>
      <x:c r="J11" s="83" t="n">
        <x:v>50</x:v>
      </x:c>
      <x:c r="K11" s="81" t="str">
        <x:v>Moyenne</x:v>
      </x:c>
      <x:c r="L11" s="81" t="str">
        <x:v>Faible</x:v>
      </x:c>
      <x:c r="M11" s="83" t="n">
        <x:v>4</x:v>
      </x:c>
      <x:c r="N11" s="83" t="n">
        <x:v>5</x:v>
      </x:c>
      <x:c r="O11" s="83" t="n">
        <x:f>ROUND((MIN(5,LN((E11+F11)/2+1)/2.3)*20)*0.25+(N11*20)*0.30+(M11*20)*0.25+((100-(I11+J11)/2))*0.20,0)</x:f>
        <x:v>73</x:v>
      </x:c>
      <x:c r="P11" s="81" t="str">
        <x:v>Que faire à Hyères quand il pleut ?</x:v>
      </x:c>
      <x:c r="Q11" s="81" t="str">
        <x:v>SERP Google + intentions touristiques, estimation à valider dans Keyword Planner</x:v>
      </x:c>
      <x:c r="R11" s="84" t="str">
        <x:v>Moyenne</x:v>
      </x:c>
    </x:row>
    <x:row r="12">
      <x:c r="A12" s="80" t="str">
        <x:v>Hyères sans voiture</x:v>
      </x:c>
      <x:c r="B12" s="81" t="str">
        <x:v>Découvrir Hyères</x:v>
      </x:c>
      <x:c r="C12" s="81" t="str">
        <x:v>Informationnel</x:v>
      </x:c>
      <x:c r="D12" s="81" t="str">
        <x:v>Découverte</x:v>
      </x:c>
      <x:c r="E12" s="82" t="n">
        <x:v>50</x:v>
      </x:c>
      <x:c r="F12" s="82" t="n">
        <x:v>200</x:v>
      </x:c>
      <x:c r="G12" s="81" t="str">
        <x:v>Longue traîne</x:v>
      </x:c>
      <x:c r="H12" s="81" t="str">
        <x:v>Toute l'année</x:v>
      </x:c>
      <x:c r="I12" s="83" t="n">
        <x:v>30</x:v>
      </x:c>
      <x:c r="J12" s="83" t="n">
        <x:v>50</x:v>
      </x:c>
      <x:c r="K12" s="81" t="str">
        <x:v>Moyenne</x:v>
      </x:c>
      <x:c r="L12" s="81" t="str">
        <x:v>Faible</x:v>
      </x:c>
      <x:c r="M12" s="83" t="n">
        <x:v>4</x:v>
      </x:c>
      <x:c r="N12" s="83" t="n">
        <x:v>5</x:v>
      </x:c>
      <x:c r="O12" s="83" t="n">
        <x:f>ROUND((MIN(5,LN((E12+F12)/2+1)/2.3)*20)*0.25+(N12*20)*0.30+(M12*20)*0.25+((100-(I12+J12)/2))*0.20,0)</x:f>
        <x:v>73</x:v>
      </x:c>
      <x:c r="P12" s="81" t="str">
        <x:v>Visiter Hyères sans voiture</x:v>
      </x:c>
      <x:c r="Q12" s="81" t="str">
        <x:v>SERP Google + intentions touristiques, estimation à valider dans Keyword Planner</x:v>
      </x:c>
      <x:c r="R12" s="84" t="str">
        <x:v>Moyenne</x:v>
      </x:c>
    </x:row>
    <x:row r="13">
      <x:c r="A13" s="80" t="str">
        <x:v>plus beaux endroits Hyères</x:v>
      </x:c>
      <x:c r="B13" s="81" t="str">
        <x:v>Découvrir Hyères</x:v>
      </x:c>
      <x:c r="C13" s="81" t="str">
        <x:v>Informationnel</x:v>
      </x:c>
      <x:c r="D13" s="81" t="str">
        <x:v>Découverte</x:v>
      </x:c>
      <x:c r="E13" s="82" t="n">
        <x:v>100</x:v>
      </x:c>
      <x:c r="F13" s="82" t="n">
        <x:v>500</x:v>
      </x:c>
      <x:c r="G13" s="81" t="str">
        <x:v>Faible à moyen</x:v>
      </x:c>
      <x:c r="H13" s="81" t="str">
        <x:v>Toute l'année</x:v>
      </x:c>
      <x:c r="I13" s="83" t="n">
        <x:v>30</x:v>
      </x:c>
      <x:c r="J13" s="83" t="n">
        <x:v>50</x:v>
      </x:c>
      <x:c r="K13" s="81" t="str">
        <x:v>Moyenne</x:v>
      </x:c>
      <x:c r="L13" s="81" t="str">
        <x:v>Faible</x:v>
      </x:c>
      <x:c r="M13" s="83" t="n">
        <x:v>4</x:v>
      </x:c>
      <x:c r="N13" s="83" t="n">
        <x:v>5</x:v>
      </x:c>
      <x:c r="O13" s="83" t="n">
        <x:f>ROUND((MIN(5,LN((E13+F13)/2+1)/2.3)*20)*0.25+(N13*20)*0.30+(M13*20)*0.25+((100-(I13+J13)/2))*0.20,0)</x:f>
        <x:v>74</x:v>
      </x:c>
      <x:c r="P13" s="81" t="str">
        <x:v>Les plus beaux endroits de Hyères</x:v>
      </x:c>
      <x:c r="Q13" s="81" t="str">
        <x:v>SERP Google + intentions touristiques, estimation à valider dans Keyword Planner</x:v>
      </x:c>
      <x:c r="R13" s="84" t="str">
        <x:v>Moyenne</x:v>
      </x:c>
    </x:row>
    <x:row r="14">
      <x:c r="A14" s="80" t="str">
        <x:v>plage Hyères</x:v>
      </x:c>
      <x:c r="B14" s="81" t="str">
        <x:v>Plages &amp; criques</x:v>
      </x:c>
      <x:c r="C14" s="81" t="str">
        <x:v>Informationnel</x:v>
      </x:c>
      <x:c r="D14" s="81" t="str">
        <x:v>Découverte</x:v>
      </x:c>
      <x:c r="E14" s="82" t="n">
        <x:v>1000</x:v>
      </x:c>
      <x:c r="F14" s="82" t="n">
        <x:v>5000</x:v>
      </x:c>
      <x:c r="G14" s="81" t="str">
        <x:v>Élevé</x:v>
      </x:c>
      <x:c r="H14" s="81" t="str">
        <x:v>Avril-septembre</x:v>
      </x:c>
      <x:c r="I14" s="83" t="n">
        <x:v>28</x:v>
      </x:c>
      <x:c r="J14" s="83" t="n">
        <x:v>48</x:v>
      </x:c>
      <x:c r="K14" s="81" t="str">
        <x:v>Moyenne</x:v>
      </x:c>
      <x:c r="L14" s="81" t="str">
        <x:v>Faible</x:v>
      </x:c>
      <x:c r="M14" s="83" t="n">
        <x:v>4</x:v>
      </x:c>
      <x:c r="N14" s="83" t="n">
        <x:v>5</x:v>
      </x:c>
      <x:c r="O14" s="83" t="n">
        <x:f>ROUND((MIN(5,LN((E14+F14)/2+1)/2.3)*20)*0.25+(N14*20)*0.30+(M14*20)*0.25+((100-(I14+J14)/2))*0.20,0)</x:f>
        <x:v>80</x:v>
      </x:c>
      <x:c r="P14" s="81" t="str">
        <x:v>Les plus belles plages de Hyères</x:v>
      </x:c>
      <x:c r="Q14" s="81" t="str">
        <x:v>SERP Google + intentions touristiques, estimation à valider dans Keyword Planner</x:v>
      </x:c>
      <x:c r="R14" s="84" t="str">
        <x:v>Moyenne</x:v>
      </x:c>
    </x:row>
    <x:row r="15">
      <x:c r="A15" s="80" t="str">
        <x:v>plus belle plage Hyères</x:v>
      </x:c>
      <x:c r="B15" s="81" t="str">
        <x:v>Plages &amp; criques</x:v>
      </x:c>
      <x:c r="C15" s="81" t="str">
        <x:v>Informationnel</x:v>
      </x:c>
      <x:c r="D15" s="81" t="str">
        <x:v>Découverte</x:v>
      </x:c>
      <x:c r="E15" s="82" t="n">
        <x:v>500</x:v>
      </x:c>
      <x:c r="F15" s="82" t="n">
        <x:v>2000</x:v>
      </x:c>
      <x:c r="G15" s="81" t="str">
        <x:v>Moyen</x:v>
      </x:c>
      <x:c r="H15" s="81" t="str">
        <x:v>Avril-septembre</x:v>
      </x:c>
      <x:c r="I15" s="83" t="n">
        <x:v>28</x:v>
      </x:c>
      <x:c r="J15" s="83" t="n">
        <x:v>48</x:v>
      </x:c>
      <x:c r="K15" s="81" t="str">
        <x:v>Moyenne</x:v>
      </x:c>
      <x:c r="L15" s="81" t="str">
        <x:v>Faible</x:v>
      </x:c>
      <x:c r="M15" s="83" t="n">
        <x:v>4</x:v>
      </x:c>
      <x:c r="N15" s="83" t="n">
        <x:v>5</x:v>
      </x:c>
      <x:c r="O15" s="83" t="n">
        <x:f>ROUND((MIN(5,LN((E15+F15)/2+1)/2.3)*20)*0.25+(N15*20)*0.30+(M15*20)*0.25+((100-(I15+J15)/2))*0.20,0)</x:f>
        <x:v>78</x:v>
      </x:c>
      <x:c r="P15" s="81" t="str">
        <x:v>Quelle est la plus belle plage de Hyères ?</x:v>
      </x:c>
      <x:c r="Q15" s="81" t="str">
        <x:v>SERP Google + intentions touristiques, estimation à valider dans Keyword Planner</x:v>
      </x:c>
      <x:c r="R15" s="84" t="str">
        <x:v>Moyenne</x:v>
      </x:c>
    </x:row>
    <x:row r="16">
      <x:c r="A16" s="80" t="str">
        <x:v>plages Hyères carte</x:v>
      </x:c>
      <x:c r="B16" s="81" t="str">
        <x:v>Plages &amp; criques</x:v>
      </x:c>
      <x:c r="C16" s="81" t="str">
        <x:v>Informationnel</x:v>
      </x:c>
      <x:c r="D16" s="81" t="str">
        <x:v>Découverte</x:v>
      </x:c>
      <x:c r="E16" s="82" t="n">
        <x:v>100</x:v>
      </x:c>
      <x:c r="F16" s="82" t="n">
        <x:v>500</x:v>
      </x:c>
      <x:c r="G16" s="81" t="str">
        <x:v>Faible à moyen</x:v>
      </x:c>
      <x:c r="H16" s="81" t="str">
        <x:v>Avril-septembre</x:v>
      </x:c>
      <x:c r="I16" s="83" t="n">
        <x:v>28</x:v>
      </x:c>
      <x:c r="J16" s="83" t="n">
        <x:v>48</x:v>
      </x:c>
      <x:c r="K16" s="81" t="str">
        <x:v>Moyenne</x:v>
      </x:c>
      <x:c r="L16" s="81" t="str">
        <x:v>Faible</x:v>
      </x:c>
      <x:c r="M16" s="83" t="n">
        <x:v>4</x:v>
      </x:c>
      <x:c r="N16" s="83" t="n">
        <x:v>5</x:v>
      </x:c>
      <x:c r="O16" s="83" t="n">
        <x:f>ROUND((MIN(5,LN((E16+F16)/2+1)/2.3)*20)*0.25+(N16*20)*0.30+(M16*20)*0.25+((100-(I16+J16)/2))*0.20,0)</x:f>
        <x:v>75</x:v>
      </x:c>
      <x:c r="P16" s="81" t="str">
        <x:v>Carte des plages de Hyères</x:v>
      </x:c>
      <x:c r="Q16" s="81" t="str">
        <x:v>SERP Google + intentions touristiques, estimation à valider dans Keyword Planner</x:v>
      </x:c>
      <x:c r="R16" s="84" t="str">
        <x:v>Moyenne</x:v>
      </x:c>
    </x:row>
    <x:row r="17">
      <x:c r="A17" s="80" t="str">
        <x:v>plage Almanarre</x:v>
      </x:c>
      <x:c r="B17" s="81" t="str">
        <x:v>Plages &amp; criques</x:v>
      </x:c>
      <x:c r="C17" s="81" t="str">
        <x:v>Informationnel</x:v>
      </x:c>
      <x:c r="D17" s="81" t="str">
        <x:v>Découverte</x:v>
      </x:c>
      <x:c r="E17" s="82" t="n">
        <x:v>500</x:v>
      </x:c>
      <x:c r="F17" s="82" t="n">
        <x:v>2000</x:v>
      </x:c>
      <x:c r="G17" s="81" t="str">
        <x:v>Moyen</x:v>
      </x:c>
      <x:c r="H17" s="81" t="str">
        <x:v>Avril-septembre</x:v>
      </x:c>
      <x:c r="I17" s="83" t="n">
        <x:v>28</x:v>
      </x:c>
      <x:c r="J17" s="83" t="n">
        <x:v>48</x:v>
      </x:c>
      <x:c r="K17" s="81" t="str">
        <x:v>Moyenne</x:v>
      </x:c>
      <x:c r="L17" s="81" t="str">
        <x:v>Faible</x:v>
      </x:c>
      <x:c r="M17" s="83" t="n">
        <x:v>4</x:v>
      </x:c>
      <x:c r="N17" s="83" t="n">
        <x:v>5</x:v>
      </x:c>
      <x:c r="O17" s="83" t="n">
        <x:f>ROUND((MIN(5,LN((E17+F17)/2+1)/2.3)*20)*0.25+(N17*20)*0.30+(M17*20)*0.25+((100-(I17+J17)/2))*0.20,0)</x:f>
        <x:v>78</x:v>
      </x:c>
      <x:c r="P17" s="81" t="str">
        <x:v>Plage de l'Almanarre : accès, vent et conseils</x:v>
      </x:c>
      <x:c r="Q17" s="81" t="str">
        <x:v>SERP Google + intentions touristiques, estimation à valider dans Keyword Planner</x:v>
      </x:c>
      <x:c r="R17" s="84" t="str">
        <x:v>Moyenne</x:v>
      </x:c>
    </x:row>
    <x:row r="18">
      <x:c r="A18" s="80" t="str">
        <x:v>plage La Capte</x:v>
      </x:c>
      <x:c r="B18" s="81" t="str">
        <x:v>Plages &amp; criques</x:v>
      </x:c>
      <x:c r="C18" s="81" t="str">
        <x:v>Informationnel</x:v>
      </x:c>
      <x:c r="D18" s="81" t="str">
        <x:v>Découverte</x:v>
      </x:c>
      <x:c r="E18" s="82" t="n">
        <x:v>100</x:v>
      </x:c>
      <x:c r="F18" s="82" t="n">
        <x:v>500</x:v>
      </x:c>
      <x:c r="G18" s="81" t="str">
        <x:v>Faible à moyen</x:v>
      </x:c>
      <x:c r="H18" s="81" t="str">
        <x:v>Avril-septembre</x:v>
      </x:c>
      <x:c r="I18" s="83" t="n">
        <x:v>28</x:v>
      </x:c>
      <x:c r="J18" s="83" t="n">
        <x:v>48</x:v>
      </x:c>
      <x:c r="K18" s="81" t="str">
        <x:v>Moyenne</x:v>
      </x:c>
      <x:c r="L18" s="81" t="str">
        <x:v>Faible</x:v>
      </x:c>
      <x:c r="M18" s="83" t="n">
        <x:v>4</x:v>
      </x:c>
      <x:c r="N18" s="83" t="n">
        <x:v>5</x:v>
      </x:c>
      <x:c r="O18" s="83" t="n">
        <x:f>ROUND((MIN(5,LN((E18+F18)/2+1)/2.3)*20)*0.25+(N18*20)*0.30+(M18*20)*0.25+((100-(I18+J18)/2))*0.20,0)</x:f>
        <x:v>75</x:v>
      </x:c>
      <x:c r="P18" s="81" t="str">
        <x:v>Plage de La Capte : le guide pratique</x:v>
      </x:c>
      <x:c r="Q18" s="81" t="str">
        <x:v>SERP Google + intentions touristiques, estimation à valider dans Keyword Planner</x:v>
      </x:c>
      <x:c r="R18" s="84" t="str">
        <x:v>Moyenne</x:v>
      </x:c>
    </x:row>
    <x:row r="19">
      <x:c r="A19" s="80" t="str">
        <x:v>plage l'Ayguade</x:v>
      </x:c>
      <x:c r="B19" s="81" t="str">
        <x:v>Plages &amp; criques</x:v>
      </x:c>
      <x:c r="C19" s="81" t="str">
        <x:v>Informationnel</x:v>
      </x:c>
      <x:c r="D19" s="81" t="str">
        <x:v>Découverte</x:v>
      </x:c>
      <x:c r="E19" s="82" t="n">
        <x:v>100</x:v>
      </x:c>
      <x:c r="F19" s="82" t="n">
        <x:v>500</x:v>
      </x:c>
      <x:c r="G19" s="81" t="str">
        <x:v>Faible à moyen</x:v>
      </x:c>
      <x:c r="H19" s="81" t="str">
        <x:v>Avril-septembre</x:v>
      </x:c>
      <x:c r="I19" s="83" t="n">
        <x:v>28</x:v>
      </x:c>
      <x:c r="J19" s="83" t="n">
        <x:v>48</x:v>
      </x:c>
      <x:c r="K19" s="81" t="str">
        <x:v>Moyenne</x:v>
      </x:c>
      <x:c r="L19" s="81" t="str">
        <x:v>Faible</x:v>
      </x:c>
      <x:c r="M19" s="83" t="n">
        <x:v>4</x:v>
      </x:c>
      <x:c r="N19" s="83" t="n">
        <x:v>5</x:v>
      </x:c>
      <x:c r="O19" s="83" t="n">
        <x:f>ROUND((MIN(5,LN((E19+F19)/2+1)/2.3)*20)*0.25+(N19*20)*0.30+(M19*20)*0.25+((100-(I19+J19)/2))*0.20,0)</x:f>
        <x:v>75</x:v>
      </x:c>
      <x:c r="P19" s="81" t="str">
        <x:v>Plage de l'Ayguade : accès et bonnes adresses</x:v>
      </x:c>
      <x:c r="Q19" s="81" t="str">
        <x:v>SERP Google + intentions touristiques, estimation à valider dans Keyword Planner</x:v>
      </x:c>
      <x:c r="R19" s="84" t="str">
        <x:v>Moyenne</x:v>
      </x:c>
    </x:row>
    <x:row r="20">
      <x:c r="A20" s="80" t="str">
        <x:v>plage Les Pesquiers</x:v>
      </x:c>
      <x:c r="B20" s="81" t="str">
        <x:v>Plages &amp; criques</x:v>
      </x:c>
      <x:c r="C20" s="81" t="str">
        <x:v>Informationnel</x:v>
      </x:c>
      <x:c r="D20" s="81" t="str">
        <x:v>Découverte</x:v>
      </x:c>
      <x:c r="E20" s="82" t="n">
        <x:v>50</x:v>
      </x:c>
      <x:c r="F20" s="82" t="n">
        <x:v>200</x:v>
      </x:c>
      <x:c r="G20" s="81" t="str">
        <x:v>Longue traîne</x:v>
      </x:c>
      <x:c r="H20" s="81" t="str">
        <x:v>Avril-septembre</x:v>
      </x:c>
      <x:c r="I20" s="83" t="n">
        <x:v>28</x:v>
      </x:c>
      <x:c r="J20" s="83" t="n">
        <x:v>48</x:v>
      </x:c>
      <x:c r="K20" s="81" t="str">
        <x:v>Moyenne</x:v>
      </x:c>
      <x:c r="L20" s="81" t="str">
        <x:v>Faible</x:v>
      </x:c>
      <x:c r="M20" s="83" t="n">
        <x:v>4</x:v>
      </x:c>
      <x:c r="N20" s="83" t="n">
        <x:v>5</x:v>
      </x:c>
      <x:c r="O20" s="83" t="n">
        <x:f>ROUND((MIN(5,LN((E20+F20)/2+1)/2.3)*20)*0.25+(N20*20)*0.30+(M20*20)*0.25+((100-(I20+J20)/2))*0.20,0)</x:f>
        <x:v>73</x:v>
      </x:c>
      <x:c r="P20" s="81" t="str">
        <x:v>Plage des Pesquiers : faut-il y aller ?</x:v>
      </x:c>
      <x:c r="Q20" s="81" t="str">
        <x:v>SERP Google + intentions touristiques, estimation à valider dans Keyword Planner</x:v>
      </x:c>
      <x:c r="R20" s="84" t="str">
        <x:v>Moyenne</x:v>
      </x:c>
    </x:row>
    <x:row r="21">
      <x:c r="A21" s="80" t="str">
        <x:v>plage La Badine Hyères</x:v>
      </x:c>
      <x:c r="B21" s="81" t="str">
        <x:v>Plages &amp; criques</x:v>
      </x:c>
      <x:c r="C21" s="81" t="str">
        <x:v>Informationnel</x:v>
      </x:c>
      <x:c r="D21" s="81" t="str">
        <x:v>Découverte</x:v>
      </x:c>
      <x:c r="E21" s="82" t="n">
        <x:v>50</x:v>
      </x:c>
      <x:c r="F21" s="82" t="n">
        <x:v>200</x:v>
      </x:c>
      <x:c r="G21" s="81" t="str">
        <x:v>Longue traîne</x:v>
      </x:c>
      <x:c r="H21" s="81" t="str">
        <x:v>Avril-septembre</x:v>
      </x:c>
      <x:c r="I21" s="83" t="n">
        <x:v>28</x:v>
      </x:c>
      <x:c r="J21" s="83" t="n">
        <x:v>48</x:v>
      </x:c>
      <x:c r="K21" s="81" t="str">
        <x:v>Moyenne</x:v>
      </x:c>
      <x:c r="L21" s="81" t="str">
        <x:v>Faible</x:v>
      </x:c>
      <x:c r="M21" s="83" t="n">
        <x:v>4</x:v>
      </x:c>
      <x:c r="N21" s="83" t="n">
        <x:v>5</x:v>
      </x:c>
      <x:c r="O21" s="83" t="n">
        <x:f>ROUND((MIN(5,LN((E21+F21)/2+1)/2.3)*20)*0.25+(N21*20)*0.30+(M21*20)*0.25+((100-(I21+J21)/2))*0.20,0)</x:f>
        <x:v>73</x:v>
      </x:c>
      <x:c r="P21" s="81" t="str">
        <x:v>Plage de la Badine : guide pratique</x:v>
      </x:c>
      <x:c r="Q21" s="81" t="str">
        <x:v>SERP Google + intentions touristiques, estimation à valider dans Keyword Planner</x:v>
      </x:c>
      <x:c r="R21" s="84" t="str">
        <x:v>Moyenne</x:v>
      </x:c>
    </x:row>
    <x:row r="22">
      <x:c r="A22" s="80" t="str">
        <x:v>plage de la Bergerie Hyères</x:v>
      </x:c>
      <x:c r="B22" s="81" t="str">
        <x:v>Plages &amp; criques</x:v>
      </x:c>
      <x:c r="C22" s="81" t="str">
        <x:v>Informationnel</x:v>
      </x:c>
      <x:c r="D22" s="81" t="str">
        <x:v>Découverte</x:v>
      </x:c>
      <x:c r="E22" s="82" t="n">
        <x:v>100</x:v>
      </x:c>
      <x:c r="F22" s="82" t="n">
        <x:v>500</x:v>
      </x:c>
      <x:c r="G22" s="81" t="str">
        <x:v>Faible à moyen</x:v>
      </x:c>
      <x:c r="H22" s="81" t="str">
        <x:v>Avril-septembre</x:v>
      </x:c>
      <x:c r="I22" s="83" t="n">
        <x:v>28</x:v>
      </x:c>
      <x:c r="J22" s="83" t="n">
        <x:v>48</x:v>
      </x:c>
      <x:c r="K22" s="81" t="str">
        <x:v>Moyenne</x:v>
      </x:c>
      <x:c r="L22" s="81" t="str">
        <x:v>Faible</x:v>
      </x:c>
      <x:c r="M22" s="83" t="n">
        <x:v>4</x:v>
      </x:c>
      <x:c r="N22" s="83" t="n">
        <x:v>5</x:v>
      </x:c>
      <x:c r="O22" s="83" t="n">
        <x:f>ROUND((MIN(5,LN((E22+F22)/2+1)/2.3)*20)*0.25+(N22*20)*0.30+(M22*20)*0.25+((100-(I22+J22)/2))*0.20,0)</x:f>
        <x:v>75</x:v>
      </x:c>
      <x:c r="P22" s="81" t="str">
        <x:v>Plage de la Bergerie : guide pratique</x:v>
      </x:c>
      <x:c r="Q22" s="81" t="str">
        <x:v>SERP Google + intentions touristiques, estimation à valider dans Keyword Planner</x:v>
      </x:c>
      <x:c r="R22" s="84" t="str">
        <x:v>Moyenne</x:v>
      </x:c>
    </x:row>
    <x:row r="23">
      <x:c r="A23" s="80" t="str">
        <x:v>criques Hyères</x:v>
      </x:c>
      <x:c r="B23" s="81" t="str">
        <x:v>Plages &amp; criques</x:v>
      </x:c>
      <x:c r="C23" s="81" t="str">
        <x:v>Informationnel</x:v>
      </x:c>
      <x:c r="D23" s="81" t="str">
        <x:v>Découverte</x:v>
      </x:c>
      <x:c r="E23" s="82" t="n">
        <x:v>100</x:v>
      </x:c>
      <x:c r="F23" s="82" t="n">
        <x:v>500</x:v>
      </x:c>
      <x:c r="G23" s="81" t="str">
        <x:v>Faible à moyen</x:v>
      </x:c>
      <x:c r="H23" s="81" t="str">
        <x:v>Avril-septembre</x:v>
      </x:c>
      <x:c r="I23" s="83" t="n">
        <x:v>28</x:v>
      </x:c>
      <x:c r="J23" s="83" t="n">
        <x:v>48</x:v>
      </x:c>
      <x:c r="K23" s="81" t="str">
        <x:v>Moyenne</x:v>
      </x:c>
      <x:c r="L23" s="81" t="str">
        <x:v>Faible</x:v>
      </x:c>
      <x:c r="M23" s="83" t="n">
        <x:v>4</x:v>
      </x:c>
      <x:c r="N23" s="83" t="n">
        <x:v>5</x:v>
      </x:c>
      <x:c r="O23" s="83" t="n">
        <x:f>ROUND((MIN(5,LN((E23+F23)/2+1)/2.3)*20)*0.25+(N23*20)*0.30+(M23*20)*0.25+((100-(I23+J23)/2))*0.20,0)</x:f>
        <x:v>75</x:v>
      </x:c>
      <x:c r="P23" s="81" t="str">
        <x:v>Les plus belles criques autour de Hyères</x:v>
      </x:c>
      <x:c r="Q23" s="81" t="str">
        <x:v>SERP Google + intentions touristiques, estimation à valider dans Keyword Planner</x:v>
      </x:c>
      <x:c r="R23" s="84" t="str">
        <x:v>Moyenne</x:v>
      </x:c>
    </x:row>
    <x:row r="24">
      <x:c r="A24" s="80" t="str">
        <x:v>plage calme Hyères</x:v>
      </x:c>
      <x:c r="B24" s="81" t="str">
        <x:v>Plages &amp; criques</x:v>
      </x:c>
      <x:c r="C24" s="81" t="str">
        <x:v>Informationnel</x:v>
      </x:c>
      <x:c r="D24" s="81" t="str">
        <x:v>Découverte</x:v>
      </x:c>
      <x:c r="E24" s="82" t="n">
        <x:v>50</x:v>
      </x:c>
      <x:c r="F24" s="82" t="n">
        <x:v>200</x:v>
      </x:c>
      <x:c r="G24" s="81" t="str">
        <x:v>Longue traîne</x:v>
      </x:c>
      <x:c r="H24" s="81" t="str">
        <x:v>Avril-septembre</x:v>
      </x:c>
      <x:c r="I24" s="83" t="n">
        <x:v>28</x:v>
      </x:c>
      <x:c r="J24" s="83" t="n">
        <x:v>48</x:v>
      </x:c>
      <x:c r="K24" s="81" t="str">
        <x:v>Moyenne</x:v>
      </x:c>
      <x:c r="L24" s="81" t="str">
        <x:v>Faible</x:v>
      </x:c>
      <x:c r="M24" s="83" t="n">
        <x:v>4</x:v>
      </x:c>
      <x:c r="N24" s="83" t="n">
        <x:v>5</x:v>
      </x:c>
      <x:c r="O24" s="83" t="n">
        <x:f>ROUND((MIN(5,LN((E24+F24)/2+1)/2.3)*20)*0.25+(N24*20)*0.30+(M24*20)*0.25+((100-(I24+J24)/2))*0.20,0)</x:f>
        <x:v>73</x:v>
      </x:c>
      <x:c r="P24" s="81" t="str">
        <x:v>Où trouver une plage calme à Hyères ?</x:v>
      </x:c>
      <x:c r="Q24" s="81" t="str">
        <x:v>SERP Google + intentions touristiques, estimation à valider dans Keyword Planner</x:v>
      </x:c>
      <x:c r="R24" s="84" t="str">
        <x:v>Moyenne</x:v>
      </x:c>
    </x:row>
    <x:row r="25">
      <x:c r="A25" s="80" t="str">
        <x:v>plage Hyères sans vent</x:v>
      </x:c>
      <x:c r="B25" s="81" t="str">
        <x:v>Plages &amp; criques</x:v>
      </x:c>
      <x:c r="C25" s="81" t="str">
        <x:v>Informationnel</x:v>
      </x:c>
      <x:c r="D25" s="81" t="str">
        <x:v>Découverte</x:v>
      </x:c>
      <x:c r="E25" s="82" t="n">
        <x:v>50</x:v>
      </x:c>
      <x:c r="F25" s="82" t="n">
        <x:v>200</x:v>
      </x:c>
      <x:c r="G25" s="81" t="str">
        <x:v>Longue traîne</x:v>
      </x:c>
      <x:c r="H25" s="81" t="str">
        <x:v>Avril-septembre</x:v>
      </x:c>
      <x:c r="I25" s="83" t="n">
        <x:v>28</x:v>
      </x:c>
      <x:c r="J25" s="83" t="n">
        <x:v>48</x:v>
      </x:c>
      <x:c r="K25" s="81" t="str">
        <x:v>Moyenne</x:v>
      </x:c>
      <x:c r="L25" s="81" t="str">
        <x:v>Faible</x:v>
      </x:c>
      <x:c r="M25" s="83" t="n">
        <x:v>4</x:v>
      </x:c>
      <x:c r="N25" s="83" t="n">
        <x:v>5</x:v>
      </x:c>
      <x:c r="O25" s="83" t="n">
        <x:f>ROUND((MIN(5,LN((E25+F25)/2+1)/2.3)*20)*0.25+(N25*20)*0.30+(M25*20)*0.25+((100-(I25+J25)/2))*0.20,0)</x:f>
        <x:v>73</x:v>
      </x:c>
      <x:c r="P25" s="81" t="str">
        <x:v>Quelle plage choisir selon le vent à Hyères ?</x:v>
      </x:c>
      <x:c r="Q25" s="81" t="str">
        <x:v>SERP Google + intentions touristiques, estimation à valider dans Keyword Planner</x:v>
      </x:c>
      <x:c r="R25" s="84" t="str">
        <x:v>Moyenne</x:v>
      </x:c>
    </x:row>
    <x:row r="26">
      <x:c r="A26" s="80" t="str">
        <x:v>plage coucher de soleil Hyères</x:v>
      </x:c>
      <x:c r="B26" s="81" t="str">
        <x:v>Plages &amp; criques</x:v>
      </x:c>
      <x:c r="C26" s="81" t="str">
        <x:v>Informationnel</x:v>
      </x:c>
      <x:c r="D26" s="81" t="str">
        <x:v>Découverte</x:v>
      </x:c>
      <x:c r="E26" s="82" t="n">
        <x:v>20</x:v>
      </x:c>
      <x:c r="F26" s="82" t="n">
        <x:v>100</x:v>
      </x:c>
      <x:c r="G26" s="81" t="str">
        <x:v>Longue traîne</x:v>
      </x:c>
      <x:c r="H26" s="81" t="str">
        <x:v>Avril-septembre</x:v>
      </x:c>
      <x:c r="I26" s="83" t="n">
        <x:v>28</x:v>
      </x:c>
      <x:c r="J26" s="83" t="n">
        <x:v>48</x:v>
      </x:c>
      <x:c r="K26" s="81" t="str">
        <x:v>Moyenne</x:v>
      </x:c>
      <x:c r="L26" s="81" t="str">
        <x:v>Faible</x:v>
      </x:c>
      <x:c r="M26" s="83" t="n">
        <x:v>4</x:v>
      </x:c>
      <x:c r="N26" s="83" t="n">
        <x:v>5</x:v>
      </x:c>
      <x:c r="O26" s="83" t="n">
        <x:f>ROUND((MIN(5,LN((E26+F26)/2+1)/2.3)*20)*0.25+(N26*20)*0.30+(M26*20)*0.25+((100-(I26+J26)/2))*0.20,0)</x:f>
        <x:v>71</x:v>
      </x:c>
      <x:c r="P26" s="81" t="str">
        <x:v>Où voir le coucher de soleil à Hyères ?</x:v>
      </x:c>
      <x:c r="Q26" s="81" t="str">
        <x:v>SERP Google + intentions touristiques, estimation à valider dans Keyword Planner</x:v>
      </x:c>
      <x:c r="R26" s="84" t="str">
        <x:v>Moyenne</x:v>
      </x:c>
    </x:row>
    <x:row r="27">
      <x:c r="A27" s="80" t="str">
        <x:v>plage naturiste Hyères</x:v>
      </x:c>
      <x:c r="B27" s="81" t="str">
        <x:v>Plages &amp; criques</x:v>
      </x:c>
      <x:c r="C27" s="81" t="str">
        <x:v>Informationnel</x:v>
      </x:c>
      <x:c r="D27" s="81" t="str">
        <x:v>Découverte</x:v>
      </x:c>
      <x:c r="E27" s="82" t="n">
        <x:v>100</x:v>
      </x:c>
      <x:c r="F27" s="82" t="n">
        <x:v>500</x:v>
      </x:c>
      <x:c r="G27" s="81" t="str">
        <x:v>Faible à moyen</x:v>
      </x:c>
      <x:c r="H27" s="81" t="str">
        <x:v>Avril-septembre</x:v>
      </x:c>
      <x:c r="I27" s="83" t="n">
        <x:v>28</x:v>
      </x:c>
      <x:c r="J27" s="83" t="n">
        <x:v>48</x:v>
      </x:c>
      <x:c r="K27" s="81" t="str">
        <x:v>Moyenne</x:v>
      </x:c>
      <x:c r="L27" s="81" t="str">
        <x:v>Faible</x:v>
      </x:c>
      <x:c r="M27" s="83" t="n">
        <x:v>4</x:v>
      </x:c>
      <x:c r="N27" s="83" t="n">
        <x:v>5</x:v>
      </x:c>
      <x:c r="O27" s="83" t="n">
        <x:f>ROUND((MIN(5,LN((E27+F27)/2+1)/2.3)*20)*0.25+(N27*20)*0.30+(M27*20)*0.25+((100-(I27+J27)/2))*0.20,0)</x:f>
        <x:v>75</x:v>
      </x:c>
      <x:c r="P27" s="81" t="str">
        <x:v>Plages naturistes autour de Hyères : règles et accès</x:v>
      </x:c>
      <x:c r="Q27" s="81" t="str">
        <x:v>SERP Google + intentions touristiques, estimation à valider dans Keyword Planner</x:v>
      </x:c>
      <x:c r="R27" s="84" t="str">
        <x:v>Moyenne</x:v>
      </x:c>
    </x:row>
    <x:row r="28">
      <x:c r="A28" s="80" t="str">
        <x:v>Porquerolles</x:v>
      </x:c>
      <x:c r="B28" s="81" t="str">
        <x:v>Porquerolles</x:v>
      </x:c>
      <x:c r="C28" s="81" t="str">
        <x:v>Informationnel</x:v>
      </x:c>
      <x:c r="D28" s="81" t="str">
        <x:v>Découverte</x:v>
      </x:c>
      <x:c r="E28" s="82" t="n">
        <x:v>10000</x:v>
      </x:c>
      <x:c r="F28" s="82" t="n">
        <x:v>50000</x:v>
      </x:c>
      <x:c r="G28" s="81" t="str">
        <x:v>Très élevé</x:v>
      </x:c>
      <x:c r="H28" s="81" t="str">
        <x:v>Mars-novembre</x:v>
      </x:c>
      <x:c r="I28" s="83" t="n">
        <x:v>42</x:v>
      </x:c>
      <x:c r="J28" s="83" t="n">
        <x:v>66</x:v>
      </x:c>
      <x:c r="K28" s="81" t="str">
        <x:v>Forte</x:v>
      </x:c>
      <x:c r="L28" s="81" t="str">
        <x:v>Moyenne</x:v>
      </x:c>
      <x:c r="M28" s="83" t="n">
        <x:v>4</x:v>
      </x:c>
      <x:c r="N28" s="83" t="n">
        <x:v>4</x:v>
      </x:c>
      <x:c r="O28" s="83" t="n">
        <x:f>ROUND((MIN(5,LN((E28+F28)/2+1)/2.3)*20)*0.25+(N28*20)*0.30+(M28*20)*0.25+((100-(I28+J28)/2))*0.20,0)</x:f>
        <x:v>76</x:v>
      </x:c>
      <x:c r="P28" s="81" t="str">
        <x:v>Guide complet de Porquerolles</x:v>
      </x:c>
      <x:c r="Q28" s="81" t="str">
        <x:v>Office de tourisme + SERP Google, estimation à valider dans Keyword Planner</x:v>
      </x:c>
      <x:c r="R28" s="84" t="str">
        <x:v>Moyenne</x:v>
      </x:c>
    </x:row>
    <x:row r="29">
      <x:c r="A29" s="80" t="str">
        <x:v>île de Porquerolles</x:v>
      </x:c>
      <x:c r="B29" s="81" t="str">
        <x:v>Porquerolles</x:v>
      </x:c>
      <x:c r="C29" s="81" t="str">
        <x:v>Informationnel</x:v>
      </x:c>
      <x:c r="D29" s="81" t="str">
        <x:v>Découverte</x:v>
      </x:c>
      <x:c r="E29" s="82" t="n">
        <x:v>5000</x:v>
      </x:c>
      <x:c r="F29" s="82" t="n">
        <x:v>20000</x:v>
      </x:c>
      <x:c r="G29" s="81" t="str">
        <x:v>Très élevé</x:v>
      </x:c>
      <x:c r="H29" s="81" t="str">
        <x:v>Mars-novembre</x:v>
      </x:c>
      <x:c r="I29" s="83" t="n">
        <x:v>42</x:v>
      </x:c>
      <x:c r="J29" s="83" t="n">
        <x:v>66</x:v>
      </x:c>
      <x:c r="K29" s="81" t="str">
        <x:v>Forte</x:v>
      </x:c>
      <x:c r="L29" s="81" t="str">
        <x:v>Moyenne</x:v>
      </x:c>
      <x:c r="M29" s="83" t="n">
        <x:v>4</x:v>
      </x:c>
      <x:c r="N29" s="83" t="n">
        <x:v>4</x:v>
      </x:c>
      <x:c r="O29" s="83" t="n">
        <x:f>ROUND((MIN(5,LN((E29+F29)/2+1)/2.3)*20)*0.25+(N29*20)*0.30+(M29*20)*0.25+((100-(I29+J29)/2))*0.20,0)</x:f>
        <x:v>74</x:v>
      </x:c>
      <x:c r="P29" s="81" t="str">
        <x:v>Porquerolles : préparer sa journée</x:v>
      </x:c>
      <x:c r="Q29" s="81" t="str">
        <x:v>Office de tourisme + SERP Google, estimation à valider dans Keyword Planner</x:v>
      </x:c>
      <x:c r="R29" s="84" t="str">
        <x:v>Moyenne</x:v>
      </x:c>
    </x:row>
    <x:row r="30">
      <x:c r="A30" s="80" t="str">
        <x:v>que faire à Porquerolles</x:v>
      </x:c>
      <x:c r="B30" s="81" t="str">
        <x:v>Porquerolles</x:v>
      </x:c>
      <x:c r="C30" s="81" t="str">
        <x:v>Informationnel</x:v>
      </x:c>
      <x:c r="D30" s="81" t="str">
        <x:v>Découverte</x:v>
      </x:c>
      <x:c r="E30" s="82" t="n">
        <x:v>1000</x:v>
      </x:c>
      <x:c r="F30" s="82" t="n">
        <x:v>5000</x:v>
      </x:c>
      <x:c r="G30" s="81" t="str">
        <x:v>Élevé</x:v>
      </x:c>
      <x:c r="H30" s="81" t="str">
        <x:v>Mars-novembre</x:v>
      </x:c>
      <x:c r="I30" s="83" t="n">
        <x:v>42</x:v>
      </x:c>
      <x:c r="J30" s="83" t="n">
        <x:v>66</x:v>
      </x:c>
      <x:c r="K30" s="81" t="str">
        <x:v>Forte</x:v>
      </x:c>
      <x:c r="L30" s="81" t="str">
        <x:v>Moyenne</x:v>
      </x:c>
      <x:c r="M30" s="83" t="n">
        <x:v>4</x:v>
      </x:c>
      <x:c r="N30" s="83" t="n">
        <x:v>4</x:v>
      </x:c>
      <x:c r="O30" s="83" t="n">
        <x:f>ROUND((MIN(5,LN((E30+F30)/2+1)/2.3)*20)*0.25+(N30*20)*0.30+(M30*20)*0.25+((100-(I30+J30)/2))*0.20,0)</x:f>
        <x:v>71</x:v>
      </x:c>
      <x:c r="P30" s="81" t="str">
        <x:v>Que faire à Porquerolles en une journée ?</x:v>
      </x:c>
      <x:c r="Q30" s="81" t="str">
        <x:v>Office de tourisme + SERP Google, estimation à valider dans Keyword Planner</x:v>
      </x:c>
      <x:c r="R30" s="84" t="str">
        <x:v>Moyenne</x:v>
      </x:c>
    </x:row>
    <x:row r="31">
      <x:c r="A31" s="80" t="str">
        <x:v>visiter Porquerolles</x:v>
      </x:c>
      <x:c r="B31" s="81" t="str">
        <x:v>Porquerolles</x:v>
      </x:c>
      <x:c r="C31" s="81" t="str">
        <x:v>Informationnel</x:v>
      </x:c>
      <x:c r="D31" s="81" t="str">
        <x:v>Découverte</x:v>
      </x:c>
      <x:c r="E31" s="82" t="n">
        <x:v>1000</x:v>
      </x:c>
      <x:c r="F31" s="82" t="n">
        <x:v>5000</x:v>
      </x:c>
      <x:c r="G31" s="81" t="str">
        <x:v>Élevé</x:v>
      </x:c>
      <x:c r="H31" s="81" t="str">
        <x:v>Mars-novembre</x:v>
      </x:c>
      <x:c r="I31" s="83" t="n">
        <x:v>42</x:v>
      </x:c>
      <x:c r="J31" s="83" t="n">
        <x:v>66</x:v>
      </x:c>
      <x:c r="K31" s="81" t="str">
        <x:v>Forte</x:v>
      </x:c>
      <x:c r="L31" s="81" t="str">
        <x:v>Moyenne</x:v>
      </x:c>
      <x:c r="M31" s="83" t="n">
        <x:v>4</x:v>
      </x:c>
      <x:c r="N31" s="83" t="n">
        <x:v>4</x:v>
      </x:c>
      <x:c r="O31" s="83" t="n">
        <x:f>ROUND((MIN(5,LN((E31+F31)/2+1)/2.3)*20)*0.25+(N31*20)*0.30+(M31*20)*0.25+((100-(I31+J31)/2))*0.20,0)</x:f>
        <x:v>71</x:v>
      </x:c>
      <x:c r="P31" s="81" t="str">
        <x:v>Visiter Porquerolles : itinéraire conseillé</x:v>
      </x:c>
      <x:c r="Q31" s="81" t="str">
        <x:v>Office de tourisme + SERP Google, estimation à valider dans Keyword Planner</x:v>
      </x:c>
      <x:c r="R31" s="84" t="str">
        <x:v>Moyenne</x:v>
      </x:c>
    </x:row>
    <x:row r="32">
      <x:c r="A32" s="80" t="str">
        <x:v>bateau Porquerolles</x:v>
      </x:c>
      <x:c r="B32" s="81" t="str">
        <x:v>Porquerolles</x:v>
      </x:c>
      <x:c r="C32" s="81" t="str">
        <x:v>Informationnel</x:v>
      </x:c>
      <x:c r="D32" s="81" t="str">
        <x:v>Découverte</x:v>
      </x:c>
      <x:c r="E32" s="82" t="n">
        <x:v>5000</x:v>
      </x:c>
      <x:c r="F32" s="82" t="n">
        <x:v>20000</x:v>
      </x:c>
      <x:c r="G32" s="81" t="str">
        <x:v>Très élevé</x:v>
      </x:c>
      <x:c r="H32" s="81" t="str">
        <x:v>Mars-novembre</x:v>
      </x:c>
      <x:c r="I32" s="83" t="n">
        <x:v>42</x:v>
      </x:c>
      <x:c r="J32" s="83" t="n">
        <x:v>66</x:v>
      </x:c>
      <x:c r="K32" s="81" t="str">
        <x:v>Forte</x:v>
      </x:c>
      <x:c r="L32" s="81" t="str">
        <x:v>Moyenne</x:v>
      </x:c>
      <x:c r="M32" s="83" t="n">
        <x:v>4</x:v>
      </x:c>
      <x:c r="N32" s="83" t="n">
        <x:v>4</x:v>
      </x:c>
      <x:c r="O32" s="83" t="n">
        <x:f>ROUND((MIN(5,LN((E32+F32)/2+1)/2.3)*20)*0.25+(N32*20)*0.30+(M32*20)*0.25+((100-(I32+J32)/2))*0.20,0)</x:f>
        <x:v>74</x:v>
      </x:c>
      <x:c r="P32" s="81" t="str">
        <x:v>Bateau pour Porquerolles : départs, billets, parkings</x:v>
      </x:c>
      <x:c r="Q32" s="81" t="str">
        <x:v>Office de tourisme + SERP Google, estimation à valider dans Keyword Planner</x:v>
      </x:c>
      <x:c r="R32" s="84" t="str">
        <x:v>Moyenne</x:v>
      </x:c>
    </x:row>
    <x:row r="33">
      <x:c r="A33" s="80" t="str">
        <x:v>navette Porquerolles</x:v>
      </x:c>
      <x:c r="B33" s="81" t="str">
        <x:v>Porquerolles</x:v>
      </x:c>
      <x:c r="C33" s="81" t="str">
        <x:v>Informationnel</x:v>
      </x:c>
      <x:c r="D33" s="81" t="str">
        <x:v>Découverte</x:v>
      </x:c>
      <x:c r="E33" s="82" t="n">
        <x:v>1000</x:v>
      </x:c>
      <x:c r="F33" s="82" t="n">
        <x:v>5000</x:v>
      </x:c>
      <x:c r="G33" s="81" t="str">
        <x:v>Élevé</x:v>
      </x:c>
      <x:c r="H33" s="81" t="str">
        <x:v>Mars-novembre</x:v>
      </x:c>
      <x:c r="I33" s="83" t="n">
        <x:v>42</x:v>
      </x:c>
      <x:c r="J33" s="83" t="n">
        <x:v>66</x:v>
      </x:c>
      <x:c r="K33" s="81" t="str">
        <x:v>Forte</x:v>
      </x:c>
      <x:c r="L33" s="81" t="str">
        <x:v>Moyenne</x:v>
      </x:c>
      <x:c r="M33" s="83" t="n">
        <x:v>4</x:v>
      </x:c>
      <x:c r="N33" s="83" t="n">
        <x:v>4</x:v>
      </x:c>
      <x:c r="O33" s="83" t="n">
        <x:f>ROUND((MIN(5,LN((E33+F33)/2+1)/2.3)*20)*0.25+(N33*20)*0.30+(M33*20)*0.25+((100-(I33+J33)/2))*0.20,0)</x:f>
        <x:v>71</x:v>
      </x:c>
      <x:c r="P33" s="81" t="str">
        <x:v>Navette pour Porquerolles : guide pratique</x:v>
      </x:c>
      <x:c r="Q33" s="81" t="str">
        <x:v>Office de tourisme + SERP Google, estimation à valider dans Keyword Planner</x:v>
      </x:c>
      <x:c r="R33" s="84" t="str">
        <x:v>Moyenne</x:v>
      </x:c>
    </x:row>
    <x:row r="34">
      <x:c r="A34" s="80" t="str">
        <x:v>Porquerolles prix bateau</x:v>
      </x:c>
      <x:c r="B34" s="81" t="str">
        <x:v>Porquerolles</x:v>
      </x:c>
      <x:c r="C34" s="81" t="str">
        <x:v>Informationnel</x:v>
      </x:c>
      <x:c r="D34" s="81" t="str">
        <x:v>Découverte</x:v>
      </x:c>
      <x:c r="E34" s="82" t="n">
        <x:v>500</x:v>
      </x:c>
      <x:c r="F34" s="82" t="n">
        <x:v>2000</x:v>
      </x:c>
      <x:c r="G34" s="81" t="str">
        <x:v>Moyen</x:v>
      </x:c>
      <x:c r="H34" s="81" t="str">
        <x:v>Mars-novembre</x:v>
      </x:c>
      <x:c r="I34" s="83" t="n">
        <x:v>42</x:v>
      </x:c>
      <x:c r="J34" s="83" t="n">
        <x:v>66</x:v>
      </x:c>
      <x:c r="K34" s="81" t="str">
        <x:v>Forte</x:v>
      </x:c>
      <x:c r="L34" s="81" t="str">
        <x:v>Moyenne</x:v>
      </x:c>
      <x:c r="M34" s="83" t="n">
        <x:v>4</x:v>
      </x:c>
      <x:c r="N34" s="83" t="n">
        <x:v>4</x:v>
      </x:c>
      <x:c r="O34" s="83" t="n">
        <x:f>ROUND((MIN(5,LN((E34+F34)/2+1)/2.3)*20)*0.25+(N34*20)*0.30+(M34*20)*0.25+((100-(I34+J34)/2))*0.20,0)</x:f>
        <x:v>69</x:v>
      </x:c>
      <x:c r="P34" s="81" t="str">
        <x:v>Prix du bateau pour Porquerolles</x:v>
      </x:c>
      <x:c r="Q34" s="81" t="str">
        <x:v>Office de tourisme + SERP Google, estimation à valider dans Keyword Planner</x:v>
      </x:c>
      <x:c r="R34" s="84" t="str">
        <x:v>Moyenne</x:v>
      </x:c>
    </x:row>
    <x:row r="35">
      <x:c r="A35" s="80" t="str">
        <x:v>Porquerolles horaires bateau</x:v>
      </x:c>
      <x:c r="B35" s="81" t="str">
        <x:v>Porquerolles</x:v>
      </x:c>
      <x:c r="C35" s="81" t="str">
        <x:v>Informationnel</x:v>
      </x:c>
      <x:c r="D35" s="81" t="str">
        <x:v>Découverte</x:v>
      </x:c>
      <x:c r="E35" s="82" t="n">
        <x:v>500</x:v>
      </x:c>
      <x:c r="F35" s="82" t="n">
        <x:v>2000</x:v>
      </x:c>
      <x:c r="G35" s="81" t="str">
        <x:v>Moyen</x:v>
      </x:c>
      <x:c r="H35" s="81" t="str">
        <x:v>Mars-novembre</x:v>
      </x:c>
      <x:c r="I35" s="83" t="n">
        <x:v>42</x:v>
      </x:c>
      <x:c r="J35" s="83" t="n">
        <x:v>66</x:v>
      </x:c>
      <x:c r="K35" s="81" t="str">
        <x:v>Forte</x:v>
      </x:c>
      <x:c r="L35" s="81" t="str">
        <x:v>Moyenne</x:v>
      </x:c>
      <x:c r="M35" s="83" t="n">
        <x:v>4</x:v>
      </x:c>
      <x:c r="N35" s="83" t="n">
        <x:v>4</x:v>
      </x:c>
      <x:c r="O35" s="83" t="n">
        <x:f>ROUND((MIN(5,LN((E35+F35)/2+1)/2.3)*20)*0.25+(N35*20)*0.30+(M35*20)*0.25+((100-(I35+J35)/2))*0.20,0)</x:f>
        <x:v>69</x:v>
      </x:c>
      <x:c r="P35" s="81" t="str">
        <x:v>Horaires des bateaux pour Porquerolles</x:v>
      </x:c>
      <x:c r="Q35" s="81" t="str">
        <x:v>Office de tourisme + SERP Google, estimation à valider dans Keyword Planner</x:v>
      </x:c>
      <x:c r="R35" s="84" t="str">
        <x:v>Moyenne</x:v>
      </x:c>
    </x:row>
    <x:row r="36">
      <x:c r="A36" s="80" t="str">
        <x:v>parking Tour Fondue Porquerolles</x:v>
      </x:c>
      <x:c r="B36" s="81" t="str">
        <x:v>Porquerolles</x:v>
      </x:c>
      <x:c r="C36" s="81" t="str">
        <x:v>Informationnel</x:v>
      </x:c>
      <x:c r="D36" s="81" t="str">
        <x:v>Découverte</x:v>
      </x:c>
      <x:c r="E36" s="82" t="n">
        <x:v>100</x:v>
      </x:c>
      <x:c r="F36" s="82" t="n">
        <x:v>500</x:v>
      </x:c>
      <x:c r="G36" s="81" t="str">
        <x:v>Faible à moyen</x:v>
      </x:c>
      <x:c r="H36" s="81" t="str">
        <x:v>Mars-novembre</x:v>
      </x:c>
      <x:c r="I36" s="83" t="n">
        <x:v>42</x:v>
      </x:c>
      <x:c r="J36" s="83" t="n">
        <x:v>66</x:v>
      </x:c>
      <x:c r="K36" s="81" t="str">
        <x:v>Forte</x:v>
      </x:c>
      <x:c r="L36" s="81" t="str">
        <x:v>Moyenne</x:v>
      </x:c>
      <x:c r="M36" s="83" t="n">
        <x:v>4</x:v>
      </x:c>
      <x:c r="N36" s="83" t="n">
        <x:v>4</x:v>
      </x:c>
      <x:c r="O36" s="83" t="n">
        <x:f>ROUND((MIN(5,LN((E36+F36)/2+1)/2.3)*20)*0.25+(N36*20)*0.30+(M36*20)*0.25+((100-(I36+J36)/2))*0.20,0)</x:f>
        <x:v>66</x:v>
      </x:c>
      <x:c r="P36" s="81" t="str">
        <x:v>Où se garer pour aller à Porquerolles ?</x:v>
      </x:c>
      <x:c r="Q36" s="81" t="str">
        <x:v>Office de tourisme + SERP Google, estimation à valider dans Keyword Planner</x:v>
      </x:c>
      <x:c r="R36" s="84" t="str">
        <x:v>Moyenne</x:v>
      </x:c>
    </x:row>
    <x:row r="37">
      <x:c r="A37" s="80" t="str">
        <x:v>Porquerolles plage</x:v>
      </x:c>
      <x:c r="B37" s="81" t="str">
        <x:v>Porquerolles</x:v>
      </x:c>
      <x:c r="C37" s="81" t="str">
        <x:v>Informationnel</x:v>
      </x:c>
      <x:c r="D37" s="81" t="str">
        <x:v>Découverte</x:v>
      </x:c>
      <x:c r="E37" s="82" t="n">
        <x:v>1000</x:v>
      </x:c>
      <x:c r="F37" s="82" t="n">
        <x:v>5000</x:v>
      </x:c>
      <x:c r="G37" s="81" t="str">
        <x:v>Élevé</x:v>
      </x:c>
      <x:c r="H37" s="81" t="str">
        <x:v>Mars-novembre</x:v>
      </x:c>
      <x:c r="I37" s="83" t="n">
        <x:v>42</x:v>
      </x:c>
      <x:c r="J37" s="83" t="n">
        <x:v>66</x:v>
      </x:c>
      <x:c r="K37" s="81" t="str">
        <x:v>Forte</x:v>
      </x:c>
      <x:c r="L37" s="81" t="str">
        <x:v>Moyenne</x:v>
      </x:c>
      <x:c r="M37" s="83" t="n">
        <x:v>4</x:v>
      </x:c>
      <x:c r="N37" s="83" t="n">
        <x:v>4</x:v>
      </x:c>
      <x:c r="O37" s="83" t="n">
        <x:f>ROUND((MIN(5,LN((E37+F37)/2+1)/2.3)*20)*0.25+(N37*20)*0.30+(M37*20)*0.25+((100-(I37+J37)/2))*0.20,0)</x:f>
        <x:v>71</x:v>
      </x:c>
      <x:c r="P37" s="81" t="str">
        <x:v>Les plus belles plages de Porquerolles</x:v>
      </x:c>
      <x:c r="Q37" s="81" t="str">
        <x:v>Office de tourisme + SERP Google, estimation à valider dans Keyword Planner</x:v>
      </x:c>
      <x:c r="R37" s="84" t="str">
        <x:v>Moyenne</x:v>
      </x:c>
    </x:row>
    <x:row r="38">
      <x:c r="A38" s="80" t="str">
        <x:v>plage Notre Dame Porquerolles</x:v>
      </x:c>
      <x:c r="B38" s="81" t="str">
        <x:v>Porquerolles</x:v>
      </x:c>
      <x:c r="C38" s="81" t="str">
        <x:v>Informationnel</x:v>
      </x:c>
      <x:c r="D38" s="81" t="str">
        <x:v>Découverte</x:v>
      </x:c>
      <x:c r="E38" s="82" t="n">
        <x:v>500</x:v>
      </x:c>
      <x:c r="F38" s="82" t="n">
        <x:v>2000</x:v>
      </x:c>
      <x:c r="G38" s="81" t="str">
        <x:v>Moyen</x:v>
      </x:c>
      <x:c r="H38" s="81" t="str">
        <x:v>Mars-novembre</x:v>
      </x:c>
      <x:c r="I38" s="83" t="n">
        <x:v>42</x:v>
      </x:c>
      <x:c r="J38" s="83" t="n">
        <x:v>66</x:v>
      </x:c>
      <x:c r="K38" s="81" t="str">
        <x:v>Forte</x:v>
      </x:c>
      <x:c r="L38" s="81" t="str">
        <x:v>Moyenne</x:v>
      </x:c>
      <x:c r="M38" s="83" t="n">
        <x:v>4</x:v>
      </x:c>
      <x:c r="N38" s="83" t="n">
        <x:v>4</x:v>
      </x:c>
      <x:c r="O38" s="83" t="n">
        <x:f>ROUND((MIN(5,LN((E38+F38)/2+1)/2.3)*20)*0.25+(N38*20)*0.30+(M38*20)*0.25+((100-(I38+J38)/2))*0.20,0)</x:f>
        <x:v>69</x:v>
      </x:c>
      <x:c r="P38" s="81" t="str">
        <x:v>Plage Notre-Dame : accès et conseils</x:v>
      </x:c>
      <x:c r="Q38" s="81" t="str">
        <x:v>Office de tourisme + SERP Google, estimation à valider dans Keyword Planner</x:v>
      </x:c>
      <x:c r="R38" s="84" t="str">
        <x:v>Moyenne</x:v>
      </x:c>
    </x:row>
    <x:row r="39">
      <x:c r="A39" s="80" t="str">
        <x:v>plage d'Argent Porquerolles</x:v>
      </x:c>
      <x:c r="B39" s="81" t="str">
        <x:v>Porquerolles</x:v>
      </x:c>
      <x:c r="C39" s="81" t="str">
        <x:v>Informationnel</x:v>
      </x:c>
      <x:c r="D39" s="81" t="str">
        <x:v>Découverte</x:v>
      </x:c>
      <x:c r="E39" s="82" t="n">
        <x:v>500</x:v>
      </x:c>
      <x:c r="F39" s="82" t="n">
        <x:v>2000</x:v>
      </x:c>
      <x:c r="G39" s="81" t="str">
        <x:v>Moyen</x:v>
      </x:c>
      <x:c r="H39" s="81" t="str">
        <x:v>Mars-novembre</x:v>
      </x:c>
      <x:c r="I39" s="83" t="n">
        <x:v>42</x:v>
      </x:c>
      <x:c r="J39" s="83" t="n">
        <x:v>66</x:v>
      </x:c>
      <x:c r="K39" s="81" t="str">
        <x:v>Forte</x:v>
      </x:c>
      <x:c r="L39" s="81" t="str">
        <x:v>Moyenne</x:v>
      </x:c>
      <x:c r="M39" s="83" t="n">
        <x:v>4</x:v>
      </x:c>
      <x:c r="N39" s="83" t="n">
        <x:v>4</x:v>
      </x:c>
      <x:c r="O39" s="83" t="n">
        <x:f>ROUND((MIN(5,LN((E39+F39)/2+1)/2.3)*20)*0.25+(N39*20)*0.30+(M39*20)*0.25+((100-(I39+J39)/2))*0.20,0)</x:f>
        <x:v>69</x:v>
      </x:c>
      <x:c r="P39" s="81" t="str">
        <x:v>Plage d'Argent : accès et conseils</x:v>
      </x:c>
      <x:c r="Q39" s="81" t="str">
        <x:v>Office de tourisme + SERP Google, estimation à valider dans Keyword Planner</x:v>
      </x:c>
      <x:c r="R39" s="84" t="str">
        <x:v>Moyenne</x:v>
      </x:c>
    </x:row>
    <x:row r="40">
      <x:c r="A40" s="80" t="str">
        <x:v>Porquerolles vélo</x:v>
      </x:c>
      <x:c r="B40" s="81" t="str">
        <x:v>Porquerolles</x:v>
      </x:c>
      <x:c r="C40" s="81" t="str">
        <x:v>Informationnel</x:v>
      </x:c>
      <x:c r="D40" s="81" t="str">
        <x:v>Découverte</x:v>
      </x:c>
      <x:c r="E40" s="82" t="n">
        <x:v>500</x:v>
      </x:c>
      <x:c r="F40" s="82" t="n">
        <x:v>2000</x:v>
      </x:c>
      <x:c r="G40" s="81" t="str">
        <x:v>Moyen</x:v>
      </x:c>
      <x:c r="H40" s="81" t="str">
        <x:v>Mars-novembre</x:v>
      </x:c>
      <x:c r="I40" s="83" t="n">
        <x:v>42</x:v>
      </x:c>
      <x:c r="J40" s="83" t="n">
        <x:v>66</x:v>
      </x:c>
      <x:c r="K40" s="81" t="str">
        <x:v>Forte</x:v>
      </x:c>
      <x:c r="L40" s="81" t="str">
        <x:v>Moyenne</x:v>
      </x:c>
      <x:c r="M40" s="83" t="n">
        <x:v>4</x:v>
      </x:c>
      <x:c r="N40" s="83" t="n">
        <x:v>4</x:v>
      </x:c>
      <x:c r="O40" s="83" t="n">
        <x:f>ROUND((MIN(5,LN((E40+F40)/2+1)/2.3)*20)*0.25+(N40*20)*0.30+(M40*20)*0.25+((100-(I40+J40)/2))*0.20,0)</x:f>
        <x:v>69</x:v>
      </x:c>
      <x:c r="P40" s="81" t="str">
        <x:v>Porquerolles à vélo : parcours et location</x:v>
      </x:c>
      <x:c r="Q40" s="81" t="str">
        <x:v>Office de tourisme + SERP Google, estimation à valider dans Keyword Planner</x:v>
      </x:c>
      <x:c r="R40" s="84" t="str">
        <x:v>Moyenne</x:v>
      </x:c>
    </x:row>
    <x:row r="41">
      <x:c r="A41" s="80" t="str">
        <x:v>location vélo Porquerolles</x:v>
      </x:c>
      <x:c r="B41" s="81" t="str">
        <x:v>Porquerolles</x:v>
      </x:c>
      <x:c r="C41" s="81" t="str">
        <x:v>Informationnel</x:v>
      </x:c>
      <x:c r="D41" s="81" t="str">
        <x:v>Découverte</x:v>
      </x:c>
      <x:c r="E41" s="82" t="n">
        <x:v>500</x:v>
      </x:c>
      <x:c r="F41" s="82" t="n">
        <x:v>2000</x:v>
      </x:c>
      <x:c r="G41" s="81" t="str">
        <x:v>Moyen</x:v>
      </x:c>
      <x:c r="H41" s="81" t="str">
        <x:v>Mars-novembre</x:v>
      </x:c>
      <x:c r="I41" s="83" t="n">
        <x:v>42</x:v>
      </x:c>
      <x:c r="J41" s="83" t="n">
        <x:v>66</x:v>
      </x:c>
      <x:c r="K41" s="81" t="str">
        <x:v>Forte</x:v>
      </x:c>
      <x:c r="L41" s="81" t="str">
        <x:v>Moyenne</x:v>
      </x:c>
      <x:c r="M41" s="83" t="n">
        <x:v>4</x:v>
      </x:c>
      <x:c r="N41" s="83" t="n">
        <x:v>4</x:v>
      </x:c>
      <x:c r="O41" s="83" t="n">
        <x:f>ROUND((MIN(5,LN((E41+F41)/2+1)/2.3)*20)*0.25+(N41*20)*0.30+(M41*20)*0.25+((100-(I41+J41)/2))*0.20,0)</x:f>
        <x:v>69</x:v>
      </x:c>
      <x:c r="P41" s="81" t="str">
        <x:v>Où louer un vélo à Porquerolles ?</x:v>
      </x:c>
      <x:c r="Q41" s="81" t="str">
        <x:v>Office de tourisme + SERP Google, estimation à valider dans Keyword Planner</x:v>
      </x:c>
      <x:c r="R41" s="84" t="str">
        <x:v>Moyenne</x:v>
      </x:c>
    </x:row>
    <x:row r="42">
      <x:c r="A42" s="80" t="str">
        <x:v>Porquerolles à pied</x:v>
      </x:c>
      <x:c r="B42" s="81" t="str">
        <x:v>Porquerolles</x:v>
      </x:c>
      <x:c r="C42" s="81" t="str">
        <x:v>Informationnel</x:v>
      </x:c>
      <x:c r="D42" s="81" t="str">
        <x:v>Découverte</x:v>
      </x:c>
      <x:c r="E42" s="82" t="n">
        <x:v>100</x:v>
      </x:c>
      <x:c r="F42" s="82" t="n">
        <x:v>500</x:v>
      </x:c>
      <x:c r="G42" s="81" t="str">
        <x:v>Faible à moyen</x:v>
      </x:c>
      <x:c r="H42" s="81" t="str">
        <x:v>Mars-novembre</x:v>
      </x:c>
      <x:c r="I42" s="83" t="n">
        <x:v>42</x:v>
      </x:c>
      <x:c r="J42" s="83" t="n">
        <x:v>66</x:v>
      </x:c>
      <x:c r="K42" s="81" t="str">
        <x:v>Forte</x:v>
      </x:c>
      <x:c r="L42" s="81" t="str">
        <x:v>Moyenne</x:v>
      </x:c>
      <x:c r="M42" s="83" t="n">
        <x:v>4</x:v>
      </x:c>
      <x:c r="N42" s="83" t="n">
        <x:v>4</x:v>
      </x:c>
      <x:c r="O42" s="83" t="n">
        <x:f>ROUND((MIN(5,LN((E42+F42)/2+1)/2.3)*20)*0.25+(N42*20)*0.30+(M42*20)*0.25+((100-(I42+J42)/2))*0.20,0)</x:f>
        <x:v>66</x:v>
      </x:c>
      <x:c r="P42" s="81" t="str">
        <x:v>Porquerolles à pied : itinéraires réalistes</x:v>
      </x:c>
      <x:c r="Q42" s="81" t="str">
        <x:v>Office de tourisme + SERP Google, estimation à valider dans Keyword Planner</x:v>
      </x:c>
      <x:c r="R42" s="84" t="str">
        <x:v>Moyenne</x:v>
      </x:c>
    </x:row>
    <x:row r="43">
      <x:c r="A43" s="80" t="str">
        <x:v>randonnée Porquerolles</x:v>
      </x:c>
      <x:c r="B43" s="81" t="str">
        <x:v>Porquerolles</x:v>
      </x:c>
      <x:c r="C43" s="81" t="str">
        <x:v>Informationnel</x:v>
      </x:c>
      <x:c r="D43" s="81" t="str">
        <x:v>Découverte</x:v>
      </x:c>
      <x:c r="E43" s="82" t="n">
        <x:v>500</x:v>
      </x:c>
      <x:c r="F43" s="82" t="n">
        <x:v>2000</x:v>
      </x:c>
      <x:c r="G43" s="81" t="str">
        <x:v>Moyen</x:v>
      </x:c>
      <x:c r="H43" s="81" t="str">
        <x:v>Mars-novembre</x:v>
      </x:c>
      <x:c r="I43" s="83" t="n">
        <x:v>42</x:v>
      </x:c>
      <x:c r="J43" s="83" t="n">
        <x:v>66</x:v>
      </x:c>
      <x:c r="K43" s="81" t="str">
        <x:v>Forte</x:v>
      </x:c>
      <x:c r="L43" s="81" t="str">
        <x:v>Moyenne</x:v>
      </x:c>
      <x:c r="M43" s="83" t="n">
        <x:v>4</x:v>
      </x:c>
      <x:c r="N43" s="83" t="n">
        <x:v>4</x:v>
      </x:c>
      <x:c r="O43" s="83" t="n">
        <x:f>ROUND((MIN(5,LN((E43+F43)/2+1)/2.3)*20)*0.25+(N43*20)*0.30+(M43*20)*0.25+((100-(I43+J43)/2))*0.20,0)</x:f>
        <x:v>69</x:v>
      </x:c>
      <x:c r="P43" s="81" t="str">
        <x:v>Les meilleures randonnées à Porquerolles</x:v>
      </x:c>
      <x:c r="Q43" s="81" t="str">
        <x:v>Office de tourisme + SERP Google, estimation à valider dans Keyword Planner</x:v>
      </x:c>
      <x:c r="R43" s="84" t="str">
        <x:v>Moyenne</x:v>
      </x:c>
    </x:row>
    <x:row r="44">
      <x:c r="A44" s="80" t="str">
        <x:v>Porquerolles en une journée</x:v>
      </x:c>
      <x:c r="B44" s="81" t="str">
        <x:v>Porquerolles</x:v>
      </x:c>
      <x:c r="C44" s="81" t="str">
        <x:v>Informationnel</x:v>
      </x:c>
      <x:c r="D44" s="81" t="str">
        <x:v>Découverte</x:v>
      </x:c>
      <x:c r="E44" s="82" t="n">
        <x:v>500</x:v>
      </x:c>
      <x:c r="F44" s="82" t="n">
        <x:v>2000</x:v>
      </x:c>
      <x:c r="G44" s="81" t="str">
        <x:v>Moyen</x:v>
      </x:c>
      <x:c r="H44" s="81" t="str">
        <x:v>Mars-novembre</x:v>
      </x:c>
      <x:c r="I44" s="83" t="n">
        <x:v>42</x:v>
      </x:c>
      <x:c r="J44" s="83" t="n">
        <x:v>66</x:v>
      </x:c>
      <x:c r="K44" s="81" t="str">
        <x:v>Forte</x:v>
      </x:c>
      <x:c r="L44" s="81" t="str">
        <x:v>Moyenne</x:v>
      </x:c>
      <x:c r="M44" s="83" t="n">
        <x:v>4</x:v>
      </x:c>
      <x:c r="N44" s="83" t="n">
        <x:v>4</x:v>
      </x:c>
      <x:c r="O44" s="83" t="n">
        <x:f>ROUND((MIN(5,LN((E44+F44)/2+1)/2.3)*20)*0.25+(N44*20)*0.30+(M44*20)*0.25+((100-(I44+J44)/2))*0.20,0)</x:f>
        <x:v>69</x:v>
      </x:c>
      <x:c r="P44" s="81" t="str">
        <x:v>Une journée parfaite à Porquerolles</x:v>
      </x:c>
      <x:c r="Q44" s="81" t="str">
        <x:v>Office de tourisme + SERP Google, estimation à valider dans Keyword Planner</x:v>
      </x:c>
      <x:c r="R44" s="84" t="str">
        <x:v>Moyenne</x:v>
      </x:c>
    </x:row>
    <x:row r="45">
      <x:c r="A45" s="80" t="str">
        <x:v>Porquerolles sans voiture</x:v>
      </x:c>
      <x:c r="B45" s="81" t="str">
        <x:v>Porquerolles</x:v>
      </x:c>
      <x:c r="C45" s="81" t="str">
        <x:v>Informationnel</x:v>
      </x:c>
      <x:c r="D45" s="81" t="str">
        <x:v>Découverte</x:v>
      </x:c>
      <x:c r="E45" s="82" t="n">
        <x:v>50</x:v>
      </x:c>
      <x:c r="F45" s="82" t="n">
        <x:v>200</x:v>
      </x:c>
      <x:c r="G45" s="81" t="str">
        <x:v>Longue traîne</x:v>
      </x:c>
      <x:c r="H45" s="81" t="str">
        <x:v>Mars-novembre</x:v>
      </x:c>
      <x:c r="I45" s="83" t="n">
        <x:v>42</x:v>
      </x:c>
      <x:c r="J45" s="83" t="n">
        <x:v>66</x:v>
      </x:c>
      <x:c r="K45" s="81" t="str">
        <x:v>Forte</x:v>
      </x:c>
      <x:c r="L45" s="81" t="str">
        <x:v>Moyenne</x:v>
      </x:c>
      <x:c r="M45" s="83" t="n">
        <x:v>4</x:v>
      </x:c>
      <x:c r="N45" s="83" t="n">
        <x:v>4</x:v>
      </x:c>
      <x:c r="O45" s="83" t="n">
        <x:f>ROUND((MIN(5,LN((E45+F45)/2+1)/2.3)*20)*0.25+(N45*20)*0.30+(M45*20)*0.25+((100-(I45+J45)/2))*0.20,0)</x:f>
        <x:v>64</x:v>
      </x:c>
      <x:c r="P45" s="81" t="str">
        <x:v>Comment aller à Porquerolles sans voiture ?</x:v>
      </x:c>
      <x:c r="Q45" s="81" t="str">
        <x:v>Office de tourisme + SERP Google, estimation à valider dans Keyword Planner</x:v>
      </x:c>
      <x:c r="R45" s="84" t="str">
        <x:v>Moyenne</x:v>
      </x:c>
    </x:row>
    <x:row r="46">
      <x:c r="A46" s="80" t="str">
        <x:v>Porquerolles depuis Hyères</x:v>
      </x:c>
      <x:c r="B46" s="81" t="str">
        <x:v>Porquerolles</x:v>
      </x:c>
      <x:c r="C46" s="81" t="str">
        <x:v>Informationnel</x:v>
      </x:c>
      <x:c r="D46" s="81" t="str">
        <x:v>Découverte</x:v>
      </x:c>
      <x:c r="E46" s="82" t="n">
        <x:v>500</x:v>
      </x:c>
      <x:c r="F46" s="82" t="n">
        <x:v>2000</x:v>
      </x:c>
      <x:c r="G46" s="81" t="str">
        <x:v>Moyen</x:v>
      </x:c>
      <x:c r="H46" s="81" t="str">
        <x:v>Mars-novembre</x:v>
      </x:c>
      <x:c r="I46" s="83" t="n">
        <x:v>42</x:v>
      </x:c>
      <x:c r="J46" s="83" t="n">
        <x:v>66</x:v>
      </x:c>
      <x:c r="K46" s="81" t="str">
        <x:v>Forte</x:v>
      </x:c>
      <x:c r="L46" s="81" t="str">
        <x:v>Moyenne</x:v>
      </x:c>
      <x:c r="M46" s="83" t="n">
        <x:v>4</x:v>
      </x:c>
      <x:c r="N46" s="83" t="n">
        <x:v>4</x:v>
      </x:c>
      <x:c r="O46" s="83" t="n">
        <x:f>ROUND((MIN(5,LN((E46+F46)/2+1)/2.3)*20)*0.25+(N46*20)*0.30+(M46*20)*0.25+((100-(I46+J46)/2))*0.20,0)</x:f>
        <x:v>69</x:v>
      </x:c>
      <x:c r="P46" s="81" t="str">
        <x:v>Aller à Porquerolles depuis Hyères</x:v>
      </x:c>
      <x:c r="Q46" s="81" t="str">
        <x:v>Office de tourisme + SERP Google, estimation à valider dans Keyword Planner</x:v>
      </x:c>
      <x:c r="R46" s="84" t="str">
        <x:v>Moyenne</x:v>
      </x:c>
    </x:row>
    <x:row r="47">
      <x:c r="A47" s="80" t="str">
        <x:v>Porquerolles hors saison</x:v>
      </x:c>
      <x:c r="B47" s="81" t="str">
        <x:v>Porquerolles</x:v>
      </x:c>
      <x:c r="C47" s="81" t="str">
        <x:v>Informationnel</x:v>
      </x:c>
      <x:c r="D47" s="81" t="str">
        <x:v>Découverte</x:v>
      </x:c>
      <x:c r="E47" s="82" t="n">
        <x:v>50</x:v>
      </x:c>
      <x:c r="F47" s="82" t="n">
        <x:v>200</x:v>
      </x:c>
      <x:c r="G47" s="81" t="str">
        <x:v>Longue traîne</x:v>
      </x:c>
      <x:c r="H47" s="81" t="str">
        <x:v>Mars-novembre</x:v>
      </x:c>
      <x:c r="I47" s="83" t="n">
        <x:v>42</x:v>
      </x:c>
      <x:c r="J47" s="83" t="n">
        <x:v>66</x:v>
      </x:c>
      <x:c r="K47" s="81" t="str">
        <x:v>Forte</x:v>
      </x:c>
      <x:c r="L47" s="81" t="str">
        <x:v>Moyenne</x:v>
      </x:c>
      <x:c r="M47" s="83" t="n">
        <x:v>4</x:v>
      </x:c>
      <x:c r="N47" s="83" t="n">
        <x:v>4</x:v>
      </x:c>
      <x:c r="O47" s="83" t="n">
        <x:f>ROUND((MIN(5,LN((E47+F47)/2+1)/2.3)*20)*0.25+(N47*20)*0.30+(M47*20)*0.25+((100-(I47+J47)/2))*0.20,0)</x:f>
        <x:v>64</x:v>
      </x:c>
      <x:c r="P47" s="81" t="str">
        <x:v>Porquerolles hors saison : bonne ou mauvaise idée ?</x:v>
      </x:c>
      <x:c r="Q47" s="81" t="str">
        <x:v>Office de tourisme + SERP Google, estimation à valider dans Keyword Planner</x:v>
      </x:c>
      <x:c r="R47" s="84" t="str">
        <x:v>Moyenne</x:v>
      </x:c>
    </x:row>
    <x:row r="48">
      <x:c r="A48" s="80" t="str">
        <x:v>presqu'île de Giens</x:v>
      </x:c>
      <x:c r="B48" s="81" t="str">
        <x:v>Giens &amp; sentier littoral</x:v>
      </x:c>
      <x:c r="C48" s="81" t="str">
        <x:v>Informationnel</x:v>
      </x:c>
      <x:c r="D48" s="81" t="str">
        <x:v>Découverte</x:v>
      </x:c>
      <x:c r="E48" s="82" t="n">
        <x:v>1000</x:v>
      </x:c>
      <x:c r="F48" s="82" t="n">
        <x:v>5000</x:v>
      </x:c>
      <x:c r="G48" s="81" t="str">
        <x:v>Élevé</x:v>
      </x:c>
      <x:c r="H48" s="81" t="str">
        <x:v>Toute l'année</x:v>
      </x:c>
      <x:c r="I48" s="83" t="n">
        <x:v>32</x:v>
      </x:c>
      <x:c r="J48" s="83" t="n">
        <x:v>54</x:v>
      </x:c>
      <x:c r="K48" s="81" t="str">
        <x:v>Moyenne</x:v>
      </x:c>
      <x:c r="L48" s="81" t="str">
        <x:v>Faible</x:v>
      </x:c>
      <x:c r="M48" s="83" t="n">
        <x:v>4</x:v>
      </x:c>
      <x:c r="N48" s="83" t="n">
        <x:v>5</x:v>
      </x:c>
      <x:c r="O48" s="83" t="n">
        <x:f>ROUND((MIN(5,LN((E48+F48)/2+1)/2.3)*20)*0.25+(N48*20)*0.30+(M48*20)*0.25+((100-(I48+J48)/2))*0.20,0)</x:f>
        <x:v>79</x:v>
      </x:c>
      <x:c r="P48" s="81" t="str">
        <x:v>Guide complet de la presqu'île de Giens</x:v>
      </x:c>
      <x:c r="Q48" s="81" t="str">
        <x:v>Office de tourisme + SERP Google, estimation à valider dans Keyword Planner</x:v>
      </x:c>
      <x:c r="R48" s="84" t="str">
        <x:v>Moyenne</x:v>
      </x:c>
    </x:row>
    <x:row r="49">
      <x:c r="A49" s="80" t="str">
        <x:v>que faire presqu'île de Giens</x:v>
      </x:c>
      <x:c r="B49" s="81" t="str">
        <x:v>Giens &amp; sentier littoral</x:v>
      </x:c>
      <x:c r="C49" s="81" t="str">
        <x:v>Informationnel</x:v>
      </x:c>
      <x:c r="D49" s="81" t="str">
        <x:v>Découverte</x:v>
      </x:c>
      <x:c r="E49" s="82" t="n">
        <x:v>100</x:v>
      </x:c>
      <x:c r="F49" s="82" t="n">
        <x:v>500</x:v>
      </x:c>
      <x:c r="G49" s="81" t="str">
        <x:v>Faible à moyen</x:v>
      </x:c>
      <x:c r="H49" s="81" t="str">
        <x:v>Toute l'année</x:v>
      </x:c>
      <x:c r="I49" s="83" t="n">
        <x:v>32</x:v>
      </x:c>
      <x:c r="J49" s="83" t="n">
        <x:v>54</x:v>
      </x:c>
      <x:c r="K49" s="81" t="str">
        <x:v>Moyenne</x:v>
      </x:c>
      <x:c r="L49" s="81" t="str">
        <x:v>Faible</x:v>
      </x:c>
      <x:c r="M49" s="83" t="n">
        <x:v>4</x:v>
      </x:c>
      <x:c r="N49" s="83" t="n">
        <x:v>5</x:v>
      </x:c>
      <x:c r="O49" s="83" t="n">
        <x:f>ROUND((MIN(5,LN((E49+F49)/2+1)/2.3)*20)*0.25+(N49*20)*0.30+(M49*20)*0.25+((100-(I49+J49)/2))*0.20,0)</x:f>
        <x:v>74</x:v>
      </x:c>
      <x:c r="P49" s="81" t="str">
        <x:v>Que faire sur la presqu'île de Giens ?</x:v>
      </x:c>
      <x:c r="Q49" s="81" t="str">
        <x:v>Office de tourisme + SERP Google, estimation à valider dans Keyword Planner</x:v>
      </x:c>
      <x:c r="R49" s="84" t="str">
        <x:v>Moyenne</x:v>
      </x:c>
    </x:row>
    <x:row r="50">
      <x:c r="A50" s="80" t="str">
        <x:v>sentier du littoral Giens</x:v>
      </x:c>
      <x:c r="B50" s="81" t="str">
        <x:v>Giens &amp; sentier littoral</x:v>
      </x:c>
      <x:c r="C50" s="81" t="str">
        <x:v>Informationnel</x:v>
      </x:c>
      <x:c r="D50" s="81" t="str">
        <x:v>Découverte</x:v>
      </x:c>
      <x:c r="E50" s="82" t="n">
        <x:v>1000</x:v>
      </x:c>
      <x:c r="F50" s="82" t="n">
        <x:v>5000</x:v>
      </x:c>
      <x:c r="G50" s="81" t="str">
        <x:v>Élevé</x:v>
      </x:c>
      <x:c r="H50" s="81" t="str">
        <x:v>Toute l'année</x:v>
      </x:c>
      <x:c r="I50" s="83" t="n">
        <x:v>32</x:v>
      </x:c>
      <x:c r="J50" s="83" t="n">
        <x:v>54</x:v>
      </x:c>
      <x:c r="K50" s="81" t="str">
        <x:v>Moyenne</x:v>
      </x:c>
      <x:c r="L50" s="81" t="str">
        <x:v>Faible</x:v>
      </x:c>
      <x:c r="M50" s="83" t="n">
        <x:v>4</x:v>
      </x:c>
      <x:c r="N50" s="83" t="n">
        <x:v>5</x:v>
      </x:c>
      <x:c r="O50" s="83" t="n">
        <x:f>ROUND((MIN(5,LN((E50+F50)/2+1)/2.3)*20)*0.25+(N50*20)*0.30+(M50*20)*0.25+((100-(I50+J50)/2))*0.20,0)</x:f>
        <x:v>79</x:v>
      </x:c>
      <x:c r="P50" s="81" t="str">
        <x:v>Sentier du littoral de Giens : parcours et conseils</x:v>
      </x:c>
      <x:c r="Q50" s="81" t="str">
        <x:v>Office de tourisme + SERP Google, estimation à valider dans Keyword Planner</x:v>
      </x:c>
      <x:c r="R50" s="84" t="str">
        <x:v>Moyenne</x:v>
      </x:c>
    </x:row>
    <x:row r="51">
      <x:c r="A51" s="80" t="str">
        <x:v>randonnée Giens</x:v>
      </x:c>
      <x:c r="B51" s="81" t="str">
        <x:v>Giens &amp; sentier littoral</x:v>
      </x:c>
      <x:c r="C51" s="81" t="str">
        <x:v>Informationnel</x:v>
      </x:c>
      <x:c r="D51" s="81" t="str">
        <x:v>Découverte</x:v>
      </x:c>
      <x:c r="E51" s="82" t="n">
        <x:v>500</x:v>
      </x:c>
      <x:c r="F51" s="82" t="n">
        <x:v>2000</x:v>
      </x:c>
      <x:c r="G51" s="81" t="str">
        <x:v>Moyen</x:v>
      </x:c>
      <x:c r="H51" s="81" t="str">
        <x:v>Toute l'année</x:v>
      </x:c>
      <x:c r="I51" s="83" t="n">
        <x:v>32</x:v>
      </x:c>
      <x:c r="J51" s="83" t="n">
        <x:v>54</x:v>
      </x:c>
      <x:c r="K51" s="81" t="str">
        <x:v>Moyenne</x:v>
      </x:c>
      <x:c r="L51" s="81" t="str">
        <x:v>Faible</x:v>
      </x:c>
      <x:c r="M51" s="83" t="n">
        <x:v>4</x:v>
      </x:c>
      <x:c r="N51" s="83" t="n">
        <x:v>5</x:v>
      </x:c>
      <x:c r="O51" s="83" t="n">
        <x:f>ROUND((MIN(5,LN((E51+F51)/2+1)/2.3)*20)*0.25+(N51*20)*0.30+(M51*20)*0.25+((100-(I51+J51)/2))*0.20,0)</x:f>
        <x:v>77</x:v>
      </x:c>
      <x:c r="P51" s="81" t="str">
        <x:v>Les randonnées de la presqu'île de Giens</x:v>
      </x:c>
      <x:c r="Q51" s="81" t="str">
        <x:v>Office de tourisme + SERP Google, estimation à valider dans Keyword Planner</x:v>
      </x:c>
      <x:c r="R51" s="84" t="str">
        <x:v>Moyenne</x:v>
      </x:c>
    </x:row>
    <x:row r="52">
      <x:c r="A52" s="80" t="str">
        <x:v>tour de Giens à pied</x:v>
      </x:c>
      <x:c r="B52" s="81" t="str">
        <x:v>Giens &amp; sentier littoral</x:v>
      </x:c>
      <x:c r="C52" s="81" t="str">
        <x:v>Informationnel</x:v>
      </x:c>
      <x:c r="D52" s="81" t="str">
        <x:v>Découverte</x:v>
      </x:c>
      <x:c r="E52" s="82" t="n">
        <x:v>100</x:v>
      </x:c>
      <x:c r="F52" s="82" t="n">
        <x:v>500</x:v>
      </x:c>
      <x:c r="G52" s="81" t="str">
        <x:v>Faible à moyen</x:v>
      </x:c>
      <x:c r="H52" s="81" t="str">
        <x:v>Toute l'année</x:v>
      </x:c>
      <x:c r="I52" s="83" t="n">
        <x:v>32</x:v>
      </x:c>
      <x:c r="J52" s="83" t="n">
        <x:v>54</x:v>
      </x:c>
      <x:c r="K52" s="81" t="str">
        <x:v>Moyenne</x:v>
      </x:c>
      <x:c r="L52" s="81" t="str">
        <x:v>Faible</x:v>
      </x:c>
      <x:c r="M52" s="83" t="n">
        <x:v>4</x:v>
      </x:c>
      <x:c r="N52" s="83" t="n">
        <x:v>5</x:v>
      </x:c>
      <x:c r="O52" s="83" t="n">
        <x:f>ROUND((MIN(5,LN((E52+F52)/2+1)/2.3)*20)*0.25+(N52*20)*0.30+(M52*20)*0.25+((100-(I52+J52)/2))*0.20,0)</x:f>
        <x:v>74</x:v>
      </x:c>
      <x:c r="P52" s="81" t="str">
        <x:v>Tour de Giens à pied : distance et difficulté</x:v>
      </x:c>
      <x:c r="Q52" s="81" t="str">
        <x:v>Office de tourisme + SERP Google, estimation à valider dans Keyword Planner</x:v>
      </x:c>
      <x:c r="R52" s="84" t="str">
        <x:v>Moyenne</x:v>
      </x:c>
    </x:row>
    <x:row r="53">
      <x:c r="A53" s="80" t="str">
        <x:v>sentier littoral Madrague Badine</x:v>
      </x:c>
      <x:c r="B53" s="81" t="str">
        <x:v>Giens &amp; sentier littoral</x:v>
      </x:c>
      <x:c r="C53" s="81" t="str">
        <x:v>Informationnel</x:v>
      </x:c>
      <x:c r="D53" s="81" t="str">
        <x:v>Découverte</x:v>
      </x:c>
      <x:c r="E53" s="82" t="n">
        <x:v>100</x:v>
      </x:c>
      <x:c r="F53" s="82" t="n">
        <x:v>500</x:v>
      </x:c>
      <x:c r="G53" s="81" t="str">
        <x:v>Faible à moyen</x:v>
      </x:c>
      <x:c r="H53" s="81" t="str">
        <x:v>Toute l'année</x:v>
      </x:c>
      <x:c r="I53" s="83" t="n">
        <x:v>32</x:v>
      </x:c>
      <x:c r="J53" s="83" t="n">
        <x:v>54</x:v>
      </x:c>
      <x:c r="K53" s="81" t="str">
        <x:v>Moyenne</x:v>
      </x:c>
      <x:c r="L53" s="81" t="str">
        <x:v>Faible</x:v>
      </x:c>
      <x:c r="M53" s="83" t="n">
        <x:v>4</x:v>
      </x:c>
      <x:c r="N53" s="83" t="n">
        <x:v>5</x:v>
      </x:c>
      <x:c r="O53" s="83" t="n">
        <x:f>ROUND((MIN(5,LN((E53+F53)/2+1)/2.3)*20)*0.25+(N53*20)*0.30+(M53*20)*0.25+((100-(I53+J53)/2))*0.20,0)</x:f>
        <x:v>74</x:v>
      </x:c>
      <x:c r="P53" s="81" t="str">
        <x:v>De la Madrague à la Badine : guide du sentier</x:v>
      </x:c>
      <x:c r="Q53" s="81" t="str">
        <x:v>SERP Google + intentions touristiques, estimation à valider dans Keyword Planner</x:v>
      </x:c>
      <x:c r="R53" s="84" t="str">
        <x:v>Moyenne</x:v>
      </x:c>
    </x:row>
    <x:row r="54">
      <x:c r="A54" s="80" t="str">
        <x:v>criques presqu'île de Giens</x:v>
      </x:c>
      <x:c r="B54" s="81" t="str">
        <x:v>Giens &amp; sentier littoral</x:v>
      </x:c>
      <x:c r="C54" s="81" t="str">
        <x:v>Informationnel</x:v>
      </x:c>
      <x:c r="D54" s="81" t="str">
        <x:v>Découverte</x:v>
      </x:c>
      <x:c r="E54" s="82" t="n">
        <x:v>100</x:v>
      </x:c>
      <x:c r="F54" s="82" t="n">
        <x:v>500</x:v>
      </x:c>
      <x:c r="G54" s="81" t="str">
        <x:v>Faible à moyen</x:v>
      </x:c>
      <x:c r="H54" s="81" t="str">
        <x:v>Toute l'année</x:v>
      </x:c>
      <x:c r="I54" s="83" t="n">
        <x:v>32</x:v>
      </x:c>
      <x:c r="J54" s="83" t="n">
        <x:v>54</x:v>
      </x:c>
      <x:c r="K54" s="81" t="str">
        <x:v>Moyenne</x:v>
      </x:c>
      <x:c r="L54" s="81" t="str">
        <x:v>Faible</x:v>
      </x:c>
      <x:c r="M54" s="83" t="n">
        <x:v>4</x:v>
      </x:c>
      <x:c r="N54" s="83" t="n">
        <x:v>5</x:v>
      </x:c>
      <x:c r="O54" s="83" t="n">
        <x:f>ROUND((MIN(5,LN((E54+F54)/2+1)/2.3)*20)*0.25+(N54*20)*0.30+(M54*20)*0.25+((100-(I54+J54)/2))*0.20,0)</x:f>
        <x:v>74</x:v>
      </x:c>
      <x:c r="P54" s="81" t="str">
        <x:v>Les criques secrètes de Giens</x:v>
      </x:c>
      <x:c r="Q54" s="81" t="str">
        <x:v>Office de tourisme + SERP Google, estimation à valider dans Keyword Planner</x:v>
      </x:c>
      <x:c r="R54" s="84" t="str">
        <x:v>Moyenne</x:v>
      </x:c>
    </x:row>
    <x:row r="55">
      <x:c r="A55" s="80" t="str">
        <x:v>village de Giens</x:v>
      </x:c>
      <x:c r="B55" s="81" t="str">
        <x:v>Giens &amp; sentier littoral</x:v>
      </x:c>
      <x:c r="C55" s="81" t="str">
        <x:v>Informationnel</x:v>
      </x:c>
      <x:c r="D55" s="81" t="str">
        <x:v>Découverte</x:v>
      </x:c>
      <x:c r="E55" s="82" t="n">
        <x:v>100</x:v>
      </x:c>
      <x:c r="F55" s="82" t="n">
        <x:v>500</x:v>
      </x:c>
      <x:c r="G55" s="81" t="str">
        <x:v>Faible à moyen</x:v>
      </x:c>
      <x:c r="H55" s="81" t="str">
        <x:v>Toute l'année</x:v>
      </x:c>
      <x:c r="I55" s="83" t="n">
        <x:v>32</x:v>
      </x:c>
      <x:c r="J55" s="83" t="n">
        <x:v>54</x:v>
      </x:c>
      <x:c r="K55" s="81" t="str">
        <x:v>Moyenne</x:v>
      </x:c>
      <x:c r="L55" s="81" t="str">
        <x:v>Faible</x:v>
      </x:c>
      <x:c r="M55" s="83" t="n">
        <x:v>4</x:v>
      </x:c>
      <x:c r="N55" s="83" t="n">
        <x:v>5</x:v>
      </x:c>
      <x:c r="O55" s="83" t="n">
        <x:f>ROUND((MIN(5,LN((E55+F55)/2+1)/2.3)*20)*0.25+(N55*20)*0.30+(M55*20)*0.25+((100-(I55+J55)/2))*0.20,0)</x:f>
        <x:v>74</x:v>
      </x:c>
      <x:c r="P55" s="81" t="str">
        <x:v>Visiter le village de Giens</x:v>
      </x:c>
      <x:c r="Q55" s="81" t="str">
        <x:v>Office de tourisme + SERP Google, estimation à valider dans Keyword Planner</x:v>
      </x:c>
      <x:c r="R55" s="84" t="str">
        <x:v>Moyenne</x:v>
      </x:c>
    </x:row>
    <x:row r="56">
      <x:c r="A56" s="80" t="str">
        <x:v>port du Niel</x:v>
      </x:c>
      <x:c r="B56" s="81" t="str">
        <x:v>Giens &amp; sentier littoral</x:v>
      </x:c>
      <x:c r="C56" s="81" t="str">
        <x:v>Informationnel</x:v>
      </x:c>
      <x:c r="D56" s="81" t="str">
        <x:v>Découverte</x:v>
      </x:c>
      <x:c r="E56" s="82" t="n">
        <x:v>100</x:v>
      </x:c>
      <x:c r="F56" s="82" t="n">
        <x:v>500</x:v>
      </x:c>
      <x:c r="G56" s="81" t="str">
        <x:v>Faible à moyen</x:v>
      </x:c>
      <x:c r="H56" s="81" t="str">
        <x:v>Toute l'année</x:v>
      </x:c>
      <x:c r="I56" s="83" t="n">
        <x:v>32</x:v>
      </x:c>
      <x:c r="J56" s="83" t="n">
        <x:v>54</x:v>
      </x:c>
      <x:c r="K56" s="81" t="str">
        <x:v>Moyenne</x:v>
      </x:c>
      <x:c r="L56" s="81" t="str">
        <x:v>Faible</x:v>
      </x:c>
      <x:c r="M56" s="83" t="n">
        <x:v>4</x:v>
      </x:c>
      <x:c r="N56" s="83" t="n">
        <x:v>5</x:v>
      </x:c>
      <x:c r="O56" s="83" t="n">
        <x:f>ROUND((MIN(5,LN((E56+F56)/2+1)/2.3)*20)*0.25+(N56*20)*0.30+(M56*20)*0.25+((100-(I56+J56)/2))*0.20,0)</x:f>
        <x:v>74</x:v>
      </x:c>
      <x:c r="P56" s="81" t="str">
        <x:v>Port du Niel : promenade et bonnes adresses</x:v>
      </x:c>
      <x:c r="Q56" s="81" t="str">
        <x:v>SERP Google + intentions touristiques, estimation à valider dans Keyword Planner</x:v>
      </x:c>
      <x:c r="R56" s="84" t="str">
        <x:v>Moyenne</x:v>
      </x:c>
    </x:row>
    <x:row r="57">
      <x:c r="A57" s="80" t="str">
        <x:v>tombolo de Giens</x:v>
      </x:c>
      <x:c r="B57" s="81" t="str">
        <x:v>Giens &amp; sentier littoral</x:v>
      </x:c>
      <x:c r="C57" s="81" t="str">
        <x:v>Informationnel</x:v>
      </x:c>
      <x:c r="D57" s="81" t="str">
        <x:v>Découverte</x:v>
      </x:c>
      <x:c r="E57" s="82" t="n">
        <x:v>100</x:v>
      </x:c>
      <x:c r="F57" s="82" t="n">
        <x:v>500</x:v>
      </x:c>
      <x:c r="G57" s="81" t="str">
        <x:v>Faible à moyen</x:v>
      </x:c>
      <x:c r="H57" s="81" t="str">
        <x:v>Toute l'année</x:v>
      </x:c>
      <x:c r="I57" s="83" t="n">
        <x:v>32</x:v>
      </x:c>
      <x:c r="J57" s="83" t="n">
        <x:v>54</x:v>
      </x:c>
      <x:c r="K57" s="81" t="str">
        <x:v>Moyenne</x:v>
      </x:c>
      <x:c r="L57" s="81" t="str">
        <x:v>Faible</x:v>
      </x:c>
      <x:c r="M57" s="83" t="n">
        <x:v>4</x:v>
      </x:c>
      <x:c r="N57" s="83" t="n">
        <x:v>5</x:v>
      </x:c>
      <x:c r="O57" s="83" t="n">
        <x:f>ROUND((MIN(5,LN((E57+F57)/2+1)/2.3)*20)*0.25+(N57*20)*0.30+(M57*20)*0.25+((100-(I57+J57)/2))*0.20,0)</x:f>
        <x:v>74</x:v>
      </x:c>
      <x:c r="P57" s="81" t="str">
        <x:v>Le double tombolo de Giens expliqué</x:v>
      </x:c>
      <x:c r="Q57" s="81" t="str">
        <x:v>Office de tourisme + SERP Google, estimation à valider dans Keyword Planner</x:v>
      </x:c>
      <x:c r="R57" s="84" t="str">
        <x:v>Moyenne</x:v>
      </x:c>
    </x:row>
    <x:row r="58">
      <x:c r="A58" s="80" t="str">
        <x:v>salins des Pesquiers</x:v>
      </x:c>
      <x:c r="B58" s="81" t="str">
        <x:v>Giens &amp; sentier littoral</x:v>
      </x:c>
      <x:c r="C58" s="81" t="str">
        <x:v>Informationnel</x:v>
      </x:c>
      <x:c r="D58" s="81" t="str">
        <x:v>Découverte</x:v>
      </x:c>
      <x:c r="E58" s="82" t="n">
        <x:v>100</x:v>
      </x:c>
      <x:c r="F58" s="82" t="n">
        <x:v>500</x:v>
      </x:c>
      <x:c r="G58" s="81" t="str">
        <x:v>Faible à moyen</x:v>
      </x:c>
      <x:c r="H58" s="81" t="str">
        <x:v>Toute l'année</x:v>
      </x:c>
      <x:c r="I58" s="83" t="n">
        <x:v>32</x:v>
      </x:c>
      <x:c r="J58" s="83" t="n">
        <x:v>54</x:v>
      </x:c>
      <x:c r="K58" s="81" t="str">
        <x:v>Moyenne</x:v>
      </x:c>
      <x:c r="L58" s="81" t="str">
        <x:v>Faible</x:v>
      </x:c>
      <x:c r="M58" s="83" t="n">
        <x:v>4</x:v>
      </x:c>
      <x:c r="N58" s="83" t="n">
        <x:v>5</x:v>
      </x:c>
      <x:c r="O58" s="83" t="n">
        <x:f>ROUND((MIN(5,LN((E58+F58)/2+1)/2.3)*20)*0.25+(N58*20)*0.30+(M58*20)*0.25+((100-(I58+J58)/2))*0.20,0)</x:f>
        <x:v>74</x:v>
      </x:c>
      <x:c r="P58" s="81" t="str">
        <x:v>Visiter les salins des Pesquiers</x:v>
      </x:c>
      <x:c r="Q58" s="81" t="str">
        <x:v>SERP Google + intentions touristiques, estimation à valider dans Keyword Planner</x:v>
      </x:c>
      <x:c r="R58" s="84" t="str">
        <x:v>Moyenne</x:v>
      </x:c>
    </x:row>
    <x:row r="59">
      <x:c r="A59" s="80" t="str">
        <x:v>flamants roses Hyères</x:v>
      </x:c>
      <x:c r="B59" s="81" t="str">
        <x:v>Giens &amp; sentier littoral</x:v>
      </x:c>
      <x:c r="C59" s="81" t="str">
        <x:v>Informationnel</x:v>
      </x:c>
      <x:c r="D59" s="81" t="str">
        <x:v>Découverte</x:v>
      </x:c>
      <x:c r="E59" s="82" t="n">
        <x:v>100</x:v>
      </x:c>
      <x:c r="F59" s="82" t="n">
        <x:v>500</x:v>
      </x:c>
      <x:c r="G59" s="81" t="str">
        <x:v>Faible à moyen</x:v>
      </x:c>
      <x:c r="H59" s="81" t="str">
        <x:v>Toute l'année</x:v>
      </x:c>
      <x:c r="I59" s="83" t="n">
        <x:v>32</x:v>
      </x:c>
      <x:c r="J59" s="83" t="n">
        <x:v>54</x:v>
      </x:c>
      <x:c r="K59" s="81" t="str">
        <x:v>Moyenne</x:v>
      </x:c>
      <x:c r="L59" s="81" t="str">
        <x:v>Faible</x:v>
      </x:c>
      <x:c r="M59" s="83" t="n">
        <x:v>4</x:v>
      </x:c>
      <x:c r="N59" s="83" t="n">
        <x:v>5</x:v>
      </x:c>
      <x:c r="O59" s="83" t="n">
        <x:f>ROUND((MIN(5,LN((E59+F59)/2+1)/2.3)*20)*0.25+(N59*20)*0.30+(M59*20)*0.25+((100-(I59+J59)/2))*0.20,0)</x:f>
        <x:v>74</x:v>
      </x:c>
      <x:c r="P59" s="81" t="str">
        <x:v>Où voir les flamants roses à Hyères ?</x:v>
      </x:c>
      <x:c r="Q59" s="81" t="str">
        <x:v>SERP Google + intentions touristiques, estimation à valider dans Keyword Planner</x:v>
      </x:c>
      <x:c r="R59" s="84" t="str">
        <x:v>Moyenne</x:v>
      </x:c>
    </x:row>
    <x:row r="60">
      <x:c r="A60" s="80" t="str">
        <x:v>Port-Cros</x:v>
      </x:c>
      <x:c r="B60" s="81" t="str">
        <x:v>Port-Cros &amp; Levant</x:v>
      </x:c>
      <x:c r="C60" s="81" t="str">
        <x:v>Informationnel</x:v>
      </x:c>
      <x:c r="D60" s="81" t="str">
        <x:v>Découverte</x:v>
      </x:c>
      <x:c r="E60" s="82" t="n">
        <x:v>1000</x:v>
      </x:c>
      <x:c r="F60" s="82" t="n">
        <x:v>5000</x:v>
      </x:c>
      <x:c r="G60" s="81" t="str">
        <x:v>Élevé</x:v>
      </x:c>
      <x:c r="H60" s="81" t="str">
        <x:v>Avril-octobre</x:v>
      </x:c>
      <x:c r="I60" s="83" t="n">
        <x:v>34</x:v>
      </x:c>
      <x:c r="J60" s="83" t="n">
        <x:v>58</x:v>
      </x:c>
      <x:c r="K60" s="81" t="str">
        <x:v>Moyenne</x:v>
      </x:c>
      <x:c r="L60" s="81" t="str">
        <x:v>Faible</x:v>
      </x:c>
      <x:c r="M60" s="83" t="n">
        <x:v>3</x:v>
      </x:c>
      <x:c r="N60" s="83" t="n">
        <x:v>4</x:v>
      </x:c>
      <x:c r="O60" s="83" t="n">
        <x:f>ROUND((MIN(5,LN((E60+F60)/2+1)/2.3)*20)*0.25+(N60*20)*0.30+(M60*20)*0.25+((100-(I60+J60)/2))*0.20,0)</x:f>
        <x:v>67</x:v>
      </x:c>
      <x:c r="P60" s="81" t="str">
        <x:v>Guide complet de Port-Cros</x:v>
      </x:c>
      <x:c r="Q60" s="81" t="str">
        <x:v>Office de tourisme + SERP Google, estimation à valider dans Keyword Planner</x:v>
      </x:c>
      <x:c r="R60" s="84" t="str">
        <x:v>Moyenne</x:v>
      </x:c>
    </x:row>
    <x:row r="61">
      <x:c r="A61" s="80" t="str">
        <x:v>île de Port-Cros</x:v>
      </x:c>
      <x:c r="B61" s="81" t="str">
        <x:v>Port-Cros &amp; Levant</x:v>
      </x:c>
      <x:c r="C61" s="81" t="str">
        <x:v>Informationnel</x:v>
      </x:c>
      <x:c r="D61" s="81" t="str">
        <x:v>Découverte</x:v>
      </x:c>
      <x:c r="E61" s="82" t="n">
        <x:v>1000</x:v>
      </x:c>
      <x:c r="F61" s="82" t="n">
        <x:v>5000</x:v>
      </x:c>
      <x:c r="G61" s="81" t="str">
        <x:v>Élevé</x:v>
      </x:c>
      <x:c r="H61" s="81" t="str">
        <x:v>Avril-octobre</x:v>
      </x:c>
      <x:c r="I61" s="83" t="n">
        <x:v>34</x:v>
      </x:c>
      <x:c r="J61" s="83" t="n">
        <x:v>58</x:v>
      </x:c>
      <x:c r="K61" s="81" t="str">
        <x:v>Moyenne</x:v>
      </x:c>
      <x:c r="L61" s="81" t="str">
        <x:v>Faible</x:v>
      </x:c>
      <x:c r="M61" s="83" t="n">
        <x:v>3</x:v>
      </x:c>
      <x:c r="N61" s="83" t="n">
        <x:v>4</x:v>
      </x:c>
      <x:c r="O61" s="83" t="n">
        <x:f>ROUND((MIN(5,LN((E61+F61)/2+1)/2.3)*20)*0.25+(N61*20)*0.30+(M61*20)*0.25+((100-(I61+J61)/2))*0.20,0)</x:f>
        <x:v>67</x:v>
      </x:c>
      <x:c r="P61" s="81" t="str">
        <x:v>Visiter l'île de Port-Cros</x:v>
      </x:c>
      <x:c r="Q61" s="81" t="str">
        <x:v>Office de tourisme + SERP Google, estimation à valider dans Keyword Planner</x:v>
      </x:c>
      <x:c r="R61" s="84" t="str">
        <x:v>Moyenne</x:v>
      </x:c>
    </x:row>
    <x:row r="62">
      <x:c r="A62" s="80" t="str">
        <x:v>bateau Port-Cros Hyères</x:v>
      </x:c>
      <x:c r="B62" s="81" t="str">
        <x:v>Port-Cros &amp; Levant</x:v>
      </x:c>
      <x:c r="C62" s="81" t="str">
        <x:v>Informationnel</x:v>
      </x:c>
      <x:c r="D62" s="81" t="str">
        <x:v>Découverte</x:v>
      </x:c>
      <x:c r="E62" s="82" t="n">
        <x:v>500</x:v>
      </x:c>
      <x:c r="F62" s="82" t="n">
        <x:v>2000</x:v>
      </x:c>
      <x:c r="G62" s="81" t="str">
        <x:v>Moyen</x:v>
      </x:c>
      <x:c r="H62" s="81" t="str">
        <x:v>Avril-octobre</x:v>
      </x:c>
      <x:c r="I62" s="83" t="n">
        <x:v>34</x:v>
      </x:c>
      <x:c r="J62" s="83" t="n">
        <x:v>58</x:v>
      </x:c>
      <x:c r="K62" s="81" t="str">
        <x:v>Moyenne</x:v>
      </x:c>
      <x:c r="L62" s="81" t="str">
        <x:v>Faible</x:v>
      </x:c>
      <x:c r="M62" s="83" t="n">
        <x:v>3</x:v>
      </x:c>
      <x:c r="N62" s="83" t="n">
        <x:v>4</x:v>
      </x:c>
      <x:c r="O62" s="83" t="n">
        <x:f>ROUND((MIN(5,LN((E62+F62)/2+1)/2.3)*20)*0.25+(N62*20)*0.30+(M62*20)*0.25+((100-(I62+J62)/2))*0.20,0)</x:f>
        <x:v>65</x:v>
      </x:c>
      <x:c r="P62" s="81" t="str">
        <x:v>Bateau Hyères-Port-Cros : horaires et conseils</x:v>
      </x:c>
      <x:c r="Q62" s="81" t="str">
        <x:v>Office de tourisme + SERP Google, estimation à valider dans Keyword Planner</x:v>
      </x:c>
      <x:c r="R62" s="84" t="str">
        <x:v>Moyenne</x:v>
      </x:c>
    </x:row>
    <x:row r="63">
      <x:c r="A63" s="80" t="str">
        <x:v>que faire à Port-Cros</x:v>
      </x:c>
      <x:c r="B63" s="81" t="str">
        <x:v>Port-Cros &amp; Levant</x:v>
      </x:c>
      <x:c r="C63" s="81" t="str">
        <x:v>Informationnel</x:v>
      </x:c>
      <x:c r="D63" s="81" t="str">
        <x:v>Découverte</x:v>
      </x:c>
      <x:c r="E63" s="82" t="n">
        <x:v>100</x:v>
      </x:c>
      <x:c r="F63" s="82" t="n">
        <x:v>500</x:v>
      </x:c>
      <x:c r="G63" s="81" t="str">
        <x:v>Faible à moyen</x:v>
      </x:c>
      <x:c r="H63" s="81" t="str">
        <x:v>Avril-octobre</x:v>
      </x:c>
      <x:c r="I63" s="83" t="n">
        <x:v>34</x:v>
      </x:c>
      <x:c r="J63" s="83" t="n">
        <x:v>58</x:v>
      </x:c>
      <x:c r="K63" s="81" t="str">
        <x:v>Moyenne</x:v>
      </x:c>
      <x:c r="L63" s="81" t="str">
        <x:v>Faible</x:v>
      </x:c>
      <x:c r="M63" s="83" t="n">
        <x:v>3</x:v>
      </x:c>
      <x:c r="N63" s="83" t="n">
        <x:v>4</x:v>
      </x:c>
      <x:c r="O63" s="83" t="n">
        <x:f>ROUND((MIN(5,LN((E63+F63)/2+1)/2.3)*20)*0.25+(N63*20)*0.30+(M63*20)*0.25+((100-(I63+J63)/2))*0.20,0)</x:f>
        <x:v>62</x:v>
      </x:c>
      <x:c r="P63" s="81" t="str">
        <x:v>Que faire à Port-Cros en une journée ?</x:v>
      </x:c>
      <x:c r="Q63" s="81" t="str">
        <x:v>Office de tourisme + SERP Google, estimation à valider dans Keyword Planner</x:v>
      </x:c>
      <x:c r="R63" s="84" t="str">
        <x:v>Moyenne</x:v>
      </x:c>
    </x:row>
    <x:row r="64">
      <x:c r="A64" s="80" t="str">
        <x:v>randonnée Port-Cros</x:v>
      </x:c>
      <x:c r="B64" s="81" t="str">
        <x:v>Port-Cros &amp; Levant</x:v>
      </x:c>
      <x:c r="C64" s="81" t="str">
        <x:v>Informationnel</x:v>
      </x:c>
      <x:c r="D64" s="81" t="str">
        <x:v>Découverte</x:v>
      </x:c>
      <x:c r="E64" s="82" t="n">
        <x:v>100</x:v>
      </x:c>
      <x:c r="F64" s="82" t="n">
        <x:v>500</x:v>
      </x:c>
      <x:c r="G64" s="81" t="str">
        <x:v>Faible à moyen</x:v>
      </x:c>
      <x:c r="H64" s="81" t="str">
        <x:v>Avril-octobre</x:v>
      </x:c>
      <x:c r="I64" s="83" t="n">
        <x:v>34</x:v>
      </x:c>
      <x:c r="J64" s="83" t="n">
        <x:v>58</x:v>
      </x:c>
      <x:c r="K64" s="81" t="str">
        <x:v>Moyenne</x:v>
      </x:c>
      <x:c r="L64" s="81" t="str">
        <x:v>Faible</x:v>
      </x:c>
      <x:c r="M64" s="83" t="n">
        <x:v>3</x:v>
      </x:c>
      <x:c r="N64" s="83" t="n">
        <x:v>4</x:v>
      </x:c>
      <x:c r="O64" s="83" t="n">
        <x:f>ROUND((MIN(5,LN((E64+F64)/2+1)/2.3)*20)*0.25+(N64*20)*0.30+(M64*20)*0.25+((100-(I64+J64)/2))*0.20,0)</x:f>
        <x:v>62</x:v>
      </x:c>
      <x:c r="P64" s="81" t="str">
        <x:v>Randonnées à Port-Cros</x:v>
      </x:c>
      <x:c r="Q64" s="81" t="str">
        <x:v>Office de tourisme + SERP Google, estimation à valider dans Keyword Planner</x:v>
      </x:c>
      <x:c r="R64" s="84" t="str">
        <x:v>Moyenne</x:v>
      </x:c>
    </x:row>
    <x:row r="65">
      <x:c r="A65" s="80" t="str">
        <x:v>plages Port-Cros</x:v>
      </x:c>
      <x:c r="B65" s="81" t="str">
        <x:v>Port-Cros &amp; Levant</x:v>
      </x:c>
      <x:c r="C65" s="81" t="str">
        <x:v>Informationnel</x:v>
      </x:c>
      <x:c r="D65" s="81" t="str">
        <x:v>Découverte</x:v>
      </x:c>
      <x:c r="E65" s="82" t="n">
        <x:v>100</x:v>
      </x:c>
      <x:c r="F65" s="82" t="n">
        <x:v>500</x:v>
      </x:c>
      <x:c r="G65" s="81" t="str">
        <x:v>Faible à moyen</x:v>
      </x:c>
      <x:c r="H65" s="81" t="str">
        <x:v>Avril-octobre</x:v>
      </x:c>
      <x:c r="I65" s="83" t="n">
        <x:v>34</x:v>
      </x:c>
      <x:c r="J65" s="83" t="n">
        <x:v>58</x:v>
      </x:c>
      <x:c r="K65" s="81" t="str">
        <x:v>Moyenne</x:v>
      </x:c>
      <x:c r="L65" s="81" t="str">
        <x:v>Faible</x:v>
      </x:c>
      <x:c r="M65" s="83" t="n">
        <x:v>3</x:v>
      </x:c>
      <x:c r="N65" s="83" t="n">
        <x:v>4</x:v>
      </x:c>
      <x:c r="O65" s="83" t="n">
        <x:f>ROUND((MIN(5,LN((E65+F65)/2+1)/2.3)*20)*0.25+(N65*20)*0.30+(M65*20)*0.25+((100-(I65+J65)/2))*0.20,0)</x:f>
        <x:v>62</x:v>
      </x:c>
      <x:c r="P65" s="81" t="str">
        <x:v>Les plages accessibles à Port-Cros</x:v>
      </x:c>
      <x:c r="Q65" s="81" t="str">
        <x:v>Office de tourisme + SERP Google, estimation à valider dans Keyword Planner</x:v>
      </x:c>
      <x:c r="R65" s="84" t="str">
        <x:v>Moyenne</x:v>
      </x:c>
    </x:row>
    <x:row r="66">
      <x:c r="A66" s="80" t="str">
        <x:v>plongée Port-Cros</x:v>
      </x:c>
      <x:c r="B66" s="81" t="str">
        <x:v>Port-Cros &amp; Levant</x:v>
      </x:c>
      <x:c r="C66" s="81" t="str">
        <x:v>Informationnel</x:v>
      </x:c>
      <x:c r="D66" s="81" t="str">
        <x:v>Découverte</x:v>
      </x:c>
      <x:c r="E66" s="82" t="n">
        <x:v>100</x:v>
      </x:c>
      <x:c r="F66" s="82" t="n">
        <x:v>500</x:v>
      </x:c>
      <x:c r="G66" s="81" t="str">
        <x:v>Faible à moyen</x:v>
      </x:c>
      <x:c r="H66" s="81" t="str">
        <x:v>Avril-octobre</x:v>
      </x:c>
      <x:c r="I66" s="83" t="n">
        <x:v>34</x:v>
      </x:c>
      <x:c r="J66" s="83" t="n">
        <x:v>58</x:v>
      </x:c>
      <x:c r="K66" s="81" t="str">
        <x:v>Moyenne</x:v>
      </x:c>
      <x:c r="L66" s="81" t="str">
        <x:v>Faible</x:v>
      </x:c>
      <x:c r="M66" s="83" t="n">
        <x:v>3</x:v>
      </x:c>
      <x:c r="N66" s="83" t="n">
        <x:v>4</x:v>
      </x:c>
      <x:c r="O66" s="83" t="n">
        <x:f>ROUND((MIN(5,LN((E66+F66)/2+1)/2.3)*20)*0.25+(N66*20)*0.30+(M66*20)*0.25+((100-(I66+J66)/2))*0.20,0)</x:f>
        <x:v>62</x:v>
      </x:c>
      <x:c r="P66" s="81" t="str">
        <x:v>Plonger à Port-Cros : sites et saison</x:v>
      </x:c>
      <x:c r="Q66" s="81" t="str">
        <x:v>Office de tourisme + SERP Google, estimation à valider dans Keyword Planner</x:v>
      </x:c>
      <x:c r="R66" s="84" t="str">
        <x:v>Moyenne</x:v>
      </x:c>
    </x:row>
    <x:row r="67">
      <x:c r="A67" s="80" t="str">
        <x:v>île du Levant</x:v>
      </x:c>
      <x:c r="B67" s="81" t="str">
        <x:v>Port-Cros &amp; Levant</x:v>
      </x:c>
      <x:c r="C67" s="81" t="str">
        <x:v>Informationnel</x:v>
      </x:c>
      <x:c r="D67" s="81" t="str">
        <x:v>Découverte</x:v>
      </x:c>
      <x:c r="E67" s="82" t="n">
        <x:v>1000</x:v>
      </x:c>
      <x:c r="F67" s="82" t="n">
        <x:v>5000</x:v>
      </x:c>
      <x:c r="G67" s="81" t="str">
        <x:v>Élevé</x:v>
      </x:c>
      <x:c r="H67" s="81" t="str">
        <x:v>Avril-octobre</x:v>
      </x:c>
      <x:c r="I67" s="83" t="n">
        <x:v>34</x:v>
      </x:c>
      <x:c r="J67" s="83" t="n">
        <x:v>58</x:v>
      </x:c>
      <x:c r="K67" s="81" t="str">
        <x:v>Moyenne</x:v>
      </x:c>
      <x:c r="L67" s="81" t="str">
        <x:v>Faible</x:v>
      </x:c>
      <x:c r="M67" s="83" t="n">
        <x:v>3</x:v>
      </x:c>
      <x:c r="N67" s="83" t="n">
        <x:v>4</x:v>
      </x:c>
      <x:c r="O67" s="83" t="n">
        <x:f>ROUND((MIN(5,LN((E67+F67)/2+1)/2.3)*20)*0.25+(N67*20)*0.30+(M67*20)*0.25+((100-(I67+J67)/2))*0.20,0)</x:f>
        <x:v>67</x:v>
      </x:c>
      <x:c r="P67" s="81" t="str">
        <x:v>Guide de l'île du Levant</x:v>
      </x:c>
      <x:c r="Q67" s="81" t="str">
        <x:v>SERP Google + intentions touristiques, estimation à valider dans Keyword Planner</x:v>
      </x:c>
      <x:c r="R67" s="84" t="str">
        <x:v>Moyenne</x:v>
      </x:c>
    </x:row>
    <x:row r="68">
      <x:c r="A68" s="80" t="str">
        <x:v>bateau île du Levant Hyères</x:v>
      </x:c>
      <x:c r="B68" s="81" t="str">
        <x:v>Port-Cros &amp; Levant</x:v>
      </x:c>
      <x:c r="C68" s="81" t="str">
        <x:v>Informationnel</x:v>
      </x:c>
      <x:c r="D68" s="81" t="str">
        <x:v>Découverte</x:v>
      </x:c>
      <x:c r="E68" s="82" t="n">
        <x:v>100</x:v>
      </x:c>
      <x:c r="F68" s="82" t="n">
        <x:v>500</x:v>
      </x:c>
      <x:c r="G68" s="81" t="str">
        <x:v>Faible à moyen</x:v>
      </x:c>
      <x:c r="H68" s="81" t="str">
        <x:v>Avril-octobre</x:v>
      </x:c>
      <x:c r="I68" s="83" t="n">
        <x:v>34</x:v>
      </x:c>
      <x:c r="J68" s="83" t="n">
        <x:v>58</x:v>
      </x:c>
      <x:c r="K68" s="81" t="str">
        <x:v>Moyenne</x:v>
      </x:c>
      <x:c r="L68" s="81" t="str">
        <x:v>Faible</x:v>
      </x:c>
      <x:c r="M68" s="83" t="n">
        <x:v>3</x:v>
      </x:c>
      <x:c r="N68" s="83" t="n">
        <x:v>4</x:v>
      </x:c>
      <x:c r="O68" s="83" t="n">
        <x:f>ROUND((MIN(5,LN((E68+F68)/2+1)/2.3)*20)*0.25+(N68*20)*0.30+(M68*20)*0.25+((100-(I68+J68)/2))*0.20,0)</x:f>
        <x:v>62</x:v>
      </x:c>
      <x:c r="P68" s="81" t="str">
        <x:v>Bateau pour l'île du Levant depuis Hyères</x:v>
      </x:c>
      <x:c r="Q68" s="81" t="str">
        <x:v>SERP Google + intentions touristiques, estimation à valider dans Keyword Planner</x:v>
      </x:c>
      <x:c r="R68" s="84" t="str">
        <x:v>Moyenne</x:v>
      </x:c>
    </x:row>
    <x:row r="69">
      <x:c r="A69" s="80" t="str">
        <x:v>Port-Cros ou Porquerolles</x:v>
      </x:c>
      <x:c r="B69" s="81" t="str">
        <x:v>Port-Cros &amp; Levant</x:v>
      </x:c>
      <x:c r="C69" s="81" t="str">
        <x:v>Informationnel</x:v>
      </x:c>
      <x:c r="D69" s="81" t="str">
        <x:v>Découverte</x:v>
      </x:c>
      <x:c r="E69" s="82" t="n">
        <x:v>50</x:v>
      </x:c>
      <x:c r="F69" s="82" t="n">
        <x:v>200</x:v>
      </x:c>
      <x:c r="G69" s="81" t="str">
        <x:v>Longue traîne</x:v>
      </x:c>
      <x:c r="H69" s="81" t="str">
        <x:v>Avril-octobre</x:v>
      </x:c>
      <x:c r="I69" s="83" t="n">
        <x:v>34</x:v>
      </x:c>
      <x:c r="J69" s="83" t="n">
        <x:v>58</x:v>
      </x:c>
      <x:c r="K69" s="81" t="str">
        <x:v>Moyenne</x:v>
      </x:c>
      <x:c r="L69" s="81" t="str">
        <x:v>Faible</x:v>
      </x:c>
      <x:c r="M69" s="83" t="n">
        <x:v>3</x:v>
      </x:c>
      <x:c r="N69" s="83" t="n">
        <x:v>4</x:v>
      </x:c>
      <x:c r="O69" s="83" t="n">
        <x:f>ROUND((MIN(5,LN((E69+F69)/2+1)/2.3)*20)*0.25+(N69*20)*0.30+(M69*20)*0.25+((100-(I69+J69)/2))*0.20,0)</x:f>
        <x:v>60</x:v>
      </x:c>
      <x:c r="P69" s="81" t="str">
        <x:v>Port-Cros ou Porquerolles : quelle île choisir ?</x:v>
      </x:c>
      <x:c r="Q69" s="81" t="str">
        <x:v>Office de tourisme + SERP Google, estimation à valider dans Keyword Planner</x:v>
      </x:c>
      <x:c r="R69" s="84" t="str">
        <x:v>Moyenne</x:v>
      </x:c>
    </x:row>
    <x:row r="70">
      <x:c r="A70" s="80" t="str">
        <x:v>randonnée Hyères</x:v>
      </x:c>
      <x:c r="B70" s="81" t="str">
        <x:v>Randonnées &amp; nature</x:v>
      </x:c>
      <x:c r="C70" s="81" t="str">
        <x:v>Informationnel</x:v>
      </x:c>
      <x:c r="D70" s="81" t="str">
        <x:v>Découverte</x:v>
      </x:c>
      <x:c r="E70" s="82" t="n">
        <x:v>500</x:v>
      </x:c>
      <x:c r="F70" s="82" t="n">
        <x:v>2000</x:v>
      </x:c>
      <x:c r="G70" s="81" t="str">
        <x:v>Moyen</x:v>
      </x:c>
      <x:c r="H70" s="81" t="str">
        <x:v>Toute l'année</x:v>
      </x:c>
      <x:c r="I70" s="83" t="n">
        <x:v>25</x:v>
      </x:c>
      <x:c r="J70" s="83" t="n">
        <x:v>45</x:v>
      </x:c>
      <x:c r="K70" s="81" t="str">
        <x:v>Moyenne</x:v>
      </x:c>
      <x:c r="L70" s="81" t="str">
        <x:v>Faible</x:v>
      </x:c>
      <x:c r="M70" s="83" t="n">
        <x:v>3</x:v>
      </x:c>
      <x:c r="N70" s="83" t="n">
        <x:v>5</x:v>
      </x:c>
      <x:c r="O70" s="83" t="n">
        <x:f>ROUND((MIN(5,LN((E70+F70)/2+1)/2.3)*20)*0.25+(N70*20)*0.30+(M70*20)*0.25+((100-(I70+J70)/2))*0.20,0)</x:f>
        <x:v>74</x:v>
      </x:c>
      <x:c r="P70" s="81" t="str">
        <x:v>Les plus belles randonnées autour de Hyères</x:v>
      </x:c>
      <x:c r="Q70" s="81" t="str">
        <x:v>SERP Google + intentions touristiques, estimation à valider dans Keyword Planner</x:v>
      </x:c>
      <x:c r="R70" s="84" t="str">
        <x:v>Moyenne</x:v>
      </x:c>
    </x:row>
    <x:row r="71">
      <x:c r="A71" s="80" t="str">
        <x:v>balade Hyères</x:v>
      </x:c>
      <x:c r="B71" s="81" t="str">
        <x:v>Randonnées &amp; nature</x:v>
      </x:c>
      <x:c r="C71" s="81" t="str">
        <x:v>Informationnel</x:v>
      </x:c>
      <x:c r="D71" s="81" t="str">
        <x:v>Découverte</x:v>
      </x:c>
      <x:c r="E71" s="82" t="n">
        <x:v>100</x:v>
      </x:c>
      <x:c r="F71" s="82" t="n">
        <x:v>500</x:v>
      </x:c>
      <x:c r="G71" s="81" t="str">
        <x:v>Faible à moyen</x:v>
      </x:c>
      <x:c r="H71" s="81" t="str">
        <x:v>Toute l'année</x:v>
      </x:c>
      <x:c r="I71" s="83" t="n">
        <x:v>25</x:v>
      </x:c>
      <x:c r="J71" s="83" t="n">
        <x:v>45</x:v>
      </x:c>
      <x:c r="K71" s="81" t="str">
        <x:v>Moyenne</x:v>
      </x:c>
      <x:c r="L71" s="81" t="str">
        <x:v>Faible</x:v>
      </x:c>
      <x:c r="M71" s="83" t="n">
        <x:v>3</x:v>
      </x:c>
      <x:c r="N71" s="83" t="n">
        <x:v>5</x:v>
      </x:c>
      <x:c r="O71" s="83" t="n">
        <x:f>ROUND((MIN(5,LN((E71+F71)/2+1)/2.3)*20)*0.25+(N71*20)*0.30+(M71*20)*0.25+((100-(I71+J71)/2))*0.20,0)</x:f>
        <x:v>70</x:v>
      </x:c>
      <x:c r="P71" s="81" t="str">
        <x:v>Les meilleures balades à Hyères</x:v>
      </x:c>
      <x:c r="Q71" s="81" t="str">
        <x:v>SERP Google + intentions touristiques, estimation à valider dans Keyword Planner</x:v>
      </x:c>
      <x:c r="R71" s="84" t="str">
        <x:v>Moyenne</x:v>
      </x:c>
    </x:row>
    <x:row r="72">
      <x:c r="A72" s="80" t="str">
        <x:v>sentier littoral Hyères</x:v>
      </x:c>
      <x:c r="B72" s="81" t="str">
        <x:v>Randonnées &amp; nature</x:v>
      </x:c>
      <x:c r="C72" s="81" t="str">
        <x:v>Informationnel</x:v>
      </x:c>
      <x:c r="D72" s="81" t="str">
        <x:v>Découverte</x:v>
      </x:c>
      <x:c r="E72" s="82" t="n">
        <x:v>500</x:v>
      </x:c>
      <x:c r="F72" s="82" t="n">
        <x:v>2000</x:v>
      </x:c>
      <x:c r="G72" s="81" t="str">
        <x:v>Moyen</x:v>
      </x:c>
      <x:c r="H72" s="81" t="str">
        <x:v>Toute l'année</x:v>
      </x:c>
      <x:c r="I72" s="83" t="n">
        <x:v>25</x:v>
      </x:c>
      <x:c r="J72" s="83" t="n">
        <x:v>45</x:v>
      </x:c>
      <x:c r="K72" s="81" t="str">
        <x:v>Moyenne</x:v>
      </x:c>
      <x:c r="L72" s="81" t="str">
        <x:v>Faible</x:v>
      </x:c>
      <x:c r="M72" s="83" t="n">
        <x:v>3</x:v>
      </x:c>
      <x:c r="N72" s="83" t="n">
        <x:v>5</x:v>
      </x:c>
      <x:c r="O72" s="83" t="n">
        <x:f>ROUND((MIN(5,LN((E72+F72)/2+1)/2.3)*20)*0.25+(N72*20)*0.30+(M72*20)*0.25+((100-(I72+J72)/2))*0.20,0)</x:f>
        <x:v>74</x:v>
      </x:c>
      <x:c r="P72" s="81" t="str">
        <x:v>Les sentiers du littoral autour de Hyères</x:v>
      </x:c>
      <x:c r="Q72" s="81" t="str">
        <x:v>SERP Google + intentions touristiques, estimation à valider dans Keyword Planner</x:v>
      </x:c>
      <x:c r="R72" s="84" t="str">
        <x:v>Moyenne</x:v>
      </x:c>
    </x:row>
    <x:row r="73">
      <x:c r="A73" s="80" t="str">
        <x:v>randonnée autour de Hyères</x:v>
      </x:c>
      <x:c r="B73" s="81" t="str">
        <x:v>Randonnées &amp; nature</x:v>
      </x:c>
      <x:c r="C73" s="81" t="str">
        <x:v>Informationnel</x:v>
      </x:c>
      <x:c r="D73" s="81" t="str">
        <x:v>Découverte</x:v>
      </x:c>
      <x:c r="E73" s="82" t="n">
        <x:v>100</x:v>
      </x:c>
      <x:c r="F73" s="82" t="n">
        <x:v>500</x:v>
      </x:c>
      <x:c r="G73" s="81" t="str">
        <x:v>Faible à moyen</x:v>
      </x:c>
      <x:c r="H73" s="81" t="str">
        <x:v>Toute l'année</x:v>
      </x:c>
      <x:c r="I73" s="83" t="n">
        <x:v>25</x:v>
      </x:c>
      <x:c r="J73" s="83" t="n">
        <x:v>45</x:v>
      </x:c>
      <x:c r="K73" s="81" t="str">
        <x:v>Moyenne</x:v>
      </x:c>
      <x:c r="L73" s="81" t="str">
        <x:v>Faible</x:v>
      </x:c>
      <x:c r="M73" s="83" t="n">
        <x:v>3</x:v>
      </x:c>
      <x:c r="N73" s="83" t="n">
        <x:v>5</x:v>
      </x:c>
      <x:c r="O73" s="83" t="n">
        <x:f>ROUND((MIN(5,LN((E73+F73)/2+1)/2.3)*20)*0.25+(N73*20)*0.30+(M73*20)*0.25+((100-(I73+J73)/2))*0.20,0)</x:f>
        <x:v>70</x:v>
      </x:c>
      <x:c r="P73" s="81" t="str">
        <x:v>Randonnées à moins de 30 minutes de Hyères</x:v>
      </x:c>
      <x:c r="Q73" s="81" t="str">
        <x:v>SERP Google + intentions touristiques, estimation à valider dans Keyword Planner</x:v>
      </x:c>
      <x:c r="R73" s="84" t="str">
        <x:v>Moyenne</x:v>
      </x:c>
    </x:row>
    <x:row r="74">
      <x:c r="A74" s="80" t="str">
        <x:v>balade romantique Hyères</x:v>
      </x:c>
      <x:c r="B74" s="81" t="str">
        <x:v>Randonnées &amp; nature</x:v>
      </x:c>
      <x:c r="C74" s="81" t="str">
        <x:v>Informationnel</x:v>
      </x:c>
      <x:c r="D74" s="81" t="str">
        <x:v>Découverte</x:v>
      </x:c>
      <x:c r="E74" s="82" t="n">
        <x:v>20</x:v>
      </x:c>
      <x:c r="F74" s="82" t="n">
        <x:v>100</x:v>
      </x:c>
      <x:c r="G74" s="81" t="str">
        <x:v>Longue traîne</x:v>
      </x:c>
      <x:c r="H74" s="81" t="str">
        <x:v>Toute l'année</x:v>
      </x:c>
      <x:c r="I74" s="83" t="n">
        <x:v>25</x:v>
      </x:c>
      <x:c r="J74" s="83" t="n">
        <x:v>45</x:v>
      </x:c>
      <x:c r="K74" s="81" t="str">
        <x:v>Moyenne</x:v>
      </x:c>
      <x:c r="L74" s="81" t="str">
        <x:v>Faible</x:v>
      </x:c>
      <x:c r="M74" s="83" t="n">
        <x:v>3</x:v>
      </x:c>
      <x:c r="N74" s="83" t="n">
        <x:v>5</x:v>
      </x:c>
      <x:c r="O74" s="83" t="n">
        <x:f>ROUND((MIN(5,LN((E74+F74)/2+1)/2.3)*20)*0.25+(N74*20)*0.30+(M74*20)*0.25+((100-(I74+J74)/2))*0.20,0)</x:f>
        <x:v>67</x:v>
      </x:c>
      <x:c r="P74" s="81" t="str">
        <x:v>Balades romantiques à Hyères</x:v>
      </x:c>
      <x:c r="Q74" s="81" t="str">
        <x:v>SERP Google + intentions touristiques, estimation à valider dans Keyword Planner</x:v>
      </x:c>
      <x:c r="R74" s="84" t="str">
        <x:v>Moyenne</x:v>
      </x:c>
    </x:row>
    <x:row r="75">
      <x:c r="A75" s="80" t="str">
        <x:v>parc Olbius Riquier</x:v>
      </x:c>
      <x:c r="B75" s="81" t="str">
        <x:v>Randonnées &amp; nature</x:v>
      </x:c>
      <x:c r="C75" s="81" t="str">
        <x:v>Informationnel</x:v>
      </x:c>
      <x:c r="D75" s="81" t="str">
        <x:v>Découverte</x:v>
      </x:c>
      <x:c r="E75" s="82" t="n">
        <x:v>500</x:v>
      </x:c>
      <x:c r="F75" s="82" t="n">
        <x:v>2000</x:v>
      </x:c>
      <x:c r="G75" s="81" t="str">
        <x:v>Moyen</x:v>
      </x:c>
      <x:c r="H75" s="81" t="str">
        <x:v>Toute l'année</x:v>
      </x:c>
      <x:c r="I75" s="83" t="n">
        <x:v>25</x:v>
      </x:c>
      <x:c r="J75" s="83" t="n">
        <x:v>45</x:v>
      </x:c>
      <x:c r="K75" s="81" t="str">
        <x:v>Moyenne</x:v>
      </x:c>
      <x:c r="L75" s="81" t="str">
        <x:v>Faible</x:v>
      </x:c>
      <x:c r="M75" s="83" t="n">
        <x:v>3</x:v>
      </x:c>
      <x:c r="N75" s="83" t="n">
        <x:v>5</x:v>
      </x:c>
      <x:c r="O75" s="83" t="n">
        <x:f>ROUND((MIN(5,LN((E75+F75)/2+1)/2.3)*20)*0.25+(N75*20)*0.30+(M75*20)*0.25+((100-(I75+J75)/2))*0.20,0)</x:f>
        <x:v>74</x:v>
      </x:c>
      <x:c r="P75" s="81" t="str">
        <x:v>Visiter le parc Olbius Riquier</x:v>
      </x:c>
      <x:c r="Q75" s="81" t="str">
        <x:v>SERP Google + intentions touristiques, estimation à valider dans Keyword Planner</x:v>
      </x:c>
      <x:c r="R75" s="84" t="str">
        <x:v>Moyenne</x:v>
      </x:c>
    </x:row>
    <x:row r="76">
      <x:c r="A76" s="80" t="str">
        <x:v>jardin Saint-Bernard Hyères</x:v>
      </x:c>
      <x:c r="B76" s="81" t="str">
        <x:v>Randonnées &amp; nature</x:v>
      </x:c>
      <x:c r="C76" s="81" t="str">
        <x:v>Informationnel</x:v>
      </x:c>
      <x:c r="D76" s="81" t="str">
        <x:v>Découverte</x:v>
      </x:c>
      <x:c r="E76" s="82" t="n">
        <x:v>100</x:v>
      </x:c>
      <x:c r="F76" s="82" t="n">
        <x:v>500</x:v>
      </x:c>
      <x:c r="G76" s="81" t="str">
        <x:v>Faible à moyen</x:v>
      </x:c>
      <x:c r="H76" s="81" t="str">
        <x:v>Toute l'année</x:v>
      </x:c>
      <x:c r="I76" s="83" t="n">
        <x:v>25</x:v>
      </x:c>
      <x:c r="J76" s="83" t="n">
        <x:v>45</x:v>
      </x:c>
      <x:c r="K76" s="81" t="str">
        <x:v>Moyenne</x:v>
      </x:c>
      <x:c r="L76" s="81" t="str">
        <x:v>Faible</x:v>
      </x:c>
      <x:c r="M76" s="83" t="n">
        <x:v>3</x:v>
      </x:c>
      <x:c r="N76" s="83" t="n">
        <x:v>5</x:v>
      </x:c>
      <x:c r="O76" s="83" t="n">
        <x:f>ROUND((MIN(5,LN((E76+F76)/2+1)/2.3)*20)*0.25+(N76*20)*0.30+(M76*20)*0.25+((100-(I76+J76)/2))*0.20,0)</x:f>
        <x:v>70</x:v>
      </x:c>
      <x:c r="P76" s="81" t="str">
        <x:v>Parc Saint-Bernard : accès et panorama</x:v>
      </x:c>
      <x:c r="Q76" s="81" t="str">
        <x:v>SERP Google + intentions touristiques, estimation à valider dans Keyword Planner</x:v>
      </x:c>
      <x:c r="R76" s="84" t="str">
        <x:v>Moyenne</x:v>
      </x:c>
    </x:row>
    <x:row r="77">
      <x:c r="A77" s="80" t="str">
        <x:v>parc Sainte-Claire Hyères</x:v>
      </x:c>
      <x:c r="B77" s="81" t="str">
        <x:v>Randonnées &amp; nature</x:v>
      </x:c>
      <x:c r="C77" s="81" t="str">
        <x:v>Informationnel</x:v>
      </x:c>
      <x:c r="D77" s="81" t="str">
        <x:v>Découverte</x:v>
      </x:c>
      <x:c r="E77" s="82" t="n">
        <x:v>100</x:v>
      </x:c>
      <x:c r="F77" s="82" t="n">
        <x:v>500</x:v>
      </x:c>
      <x:c r="G77" s="81" t="str">
        <x:v>Faible à moyen</x:v>
      </x:c>
      <x:c r="H77" s="81" t="str">
        <x:v>Toute l'année</x:v>
      </x:c>
      <x:c r="I77" s="83" t="n">
        <x:v>25</x:v>
      </x:c>
      <x:c r="J77" s="83" t="n">
        <x:v>45</x:v>
      </x:c>
      <x:c r="K77" s="81" t="str">
        <x:v>Moyenne</x:v>
      </x:c>
      <x:c r="L77" s="81" t="str">
        <x:v>Faible</x:v>
      </x:c>
      <x:c r="M77" s="83" t="n">
        <x:v>3</x:v>
      </x:c>
      <x:c r="N77" s="83" t="n">
        <x:v>5</x:v>
      </x:c>
      <x:c r="O77" s="83" t="n">
        <x:f>ROUND((MIN(5,LN((E77+F77)/2+1)/2.3)*20)*0.25+(N77*20)*0.30+(M77*20)*0.25+((100-(I77+J77)/2))*0.20,0)</x:f>
        <x:v>70</x:v>
      </x:c>
      <x:c r="P77" s="81" t="str">
        <x:v>Parc Sainte-Claire : guide de visite</x:v>
      </x:c>
      <x:c r="Q77" s="81" t="str">
        <x:v>SERP Google + intentions touristiques, estimation à valider dans Keyword Planner</x:v>
      </x:c>
      <x:c r="R77" s="84" t="str">
        <x:v>Moyenne</x:v>
      </x:c>
    </x:row>
    <x:row r="78">
      <x:c r="A78" s="80" t="str">
        <x:v>vieux salins Hyères</x:v>
      </x:c>
      <x:c r="B78" s="81" t="str">
        <x:v>Randonnées &amp; nature</x:v>
      </x:c>
      <x:c r="C78" s="81" t="str">
        <x:v>Informationnel</x:v>
      </x:c>
      <x:c r="D78" s="81" t="str">
        <x:v>Découverte</x:v>
      </x:c>
      <x:c r="E78" s="82" t="n">
        <x:v>100</x:v>
      </x:c>
      <x:c r="F78" s="82" t="n">
        <x:v>500</x:v>
      </x:c>
      <x:c r="G78" s="81" t="str">
        <x:v>Faible à moyen</x:v>
      </x:c>
      <x:c r="H78" s="81" t="str">
        <x:v>Toute l'année</x:v>
      </x:c>
      <x:c r="I78" s="83" t="n">
        <x:v>25</x:v>
      </x:c>
      <x:c r="J78" s="83" t="n">
        <x:v>45</x:v>
      </x:c>
      <x:c r="K78" s="81" t="str">
        <x:v>Moyenne</x:v>
      </x:c>
      <x:c r="L78" s="81" t="str">
        <x:v>Faible</x:v>
      </x:c>
      <x:c r="M78" s="83" t="n">
        <x:v>3</x:v>
      </x:c>
      <x:c r="N78" s="83" t="n">
        <x:v>5</x:v>
      </x:c>
      <x:c r="O78" s="83" t="n">
        <x:f>ROUND((MIN(5,LN((E78+F78)/2+1)/2.3)*20)*0.25+(N78*20)*0.30+(M78*20)*0.25+((100-(I78+J78)/2))*0.20,0)</x:f>
        <x:v>70</x:v>
      </x:c>
      <x:c r="P78" s="81" t="str">
        <x:v>Découvrir les Vieux Salins de Hyères</x:v>
      </x:c>
      <x:c r="Q78" s="81" t="str">
        <x:v>SERP Google + intentions touristiques, estimation à valider dans Keyword Planner</x:v>
      </x:c>
      <x:c r="R78" s="84" t="str">
        <x:v>Moyenne</x:v>
      </x:c>
    </x:row>
    <x:row r="79">
      <x:c r="A79" s="80" t="str">
        <x:v>balade vélo Hyères</x:v>
      </x:c>
      <x:c r="B79" s="81" t="str">
        <x:v>Randonnées &amp; nature</x:v>
      </x:c>
      <x:c r="C79" s="81" t="str">
        <x:v>Informationnel</x:v>
      </x:c>
      <x:c r="D79" s="81" t="str">
        <x:v>Découverte</x:v>
      </x:c>
      <x:c r="E79" s="82" t="n">
        <x:v>50</x:v>
      </x:c>
      <x:c r="F79" s="82" t="n">
        <x:v>200</x:v>
      </x:c>
      <x:c r="G79" s="81" t="str">
        <x:v>Longue traîne</x:v>
      </x:c>
      <x:c r="H79" s="81" t="str">
        <x:v>Toute l'année</x:v>
      </x:c>
      <x:c r="I79" s="83" t="n">
        <x:v>25</x:v>
      </x:c>
      <x:c r="J79" s="83" t="n">
        <x:v>45</x:v>
      </x:c>
      <x:c r="K79" s="81" t="str">
        <x:v>Moyenne</x:v>
      </x:c>
      <x:c r="L79" s="81" t="str">
        <x:v>Faible</x:v>
      </x:c>
      <x:c r="M79" s="83" t="n">
        <x:v>3</x:v>
      </x:c>
      <x:c r="N79" s="83" t="n">
        <x:v>5</x:v>
      </x:c>
      <x:c r="O79" s="83" t="n">
        <x:f>ROUND((MIN(5,LN((E79+F79)/2+1)/2.3)*20)*0.25+(N79*20)*0.30+(M79*20)*0.25+((100-(I79+J79)/2))*0.20,0)</x:f>
        <x:v>69</x:v>
      </x:c>
      <x:c r="P79" s="81" t="str">
        <x:v>Les plus belles balades à vélo à Hyères</x:v>
      </x:c>
      <x:c r="Q79" s="81" t="str">
        <x:v>SERP Google + intentions touristiques, estimation à valider dans Keyword Planner</x:v>
      </x:c>
      <x:c r="R79" s="84" t="str">
        <x:v>Moyenne</x:v>
      </x:c>
    </x:row>
    <x:row r="80">
      <x:c r="A80" s="80" t="str">
        <x:v>vieille ville Hyères</x:v>
      </x:c>
      <x:c r="B80" s="81" t="str">
        <x:v>Vieille ville &amp; culture</x:v>
      </x:c>
      <x:c r="C80" s="81" t="str">
        <x:v>Informationnel</x:v>
      </x:c>
      <x:c r="D80" s="81" t="str">
        <x:v>Découverte</x:v>
      </x:c>
      <x:c r="E80" s="82" t="n">
        <x:v>500</x:v>
      </x:c>
      <x:c r="F80" s="82" t="n">
        <x:v>2000</x:v>
      </x:c>
      <x:c r="G80" s="81" t="str">
        <x:v>Moyen</x:v>
      </x:c>
      <x:c r="H80" s="81" t="str">
        <x:v>Toute l'année</x:v>
      </x:c>
      <x:c r="I80" s="83" t="n">
        <x:v>24</x:v>
      </x:c>
      <x:c r="J80" s="83" t="n">
        <x:v>44</x:v>
      </x:c>
      <x:c r="K80" s="81" t="str">
        <x:v>Moyenne</x:v>
      </x:c>
      <x:c r="L80" s="81" t="str">
        <x:v>Faible</x:v>
      </x:c>
      <x:c r="M80" s="83" t="n">
        <x:v>3</x:v>
      </x:c>
      <x:c r="N80" s="83" t="n">
        <x:v>5</x:v>
      </x:c>
      <x:c r="O80" s="83" t="n">
        <x:f>ROUND((MIN(5,LN((E80+F80)/2+1)/2.3)*20)*0.25+(N80*20)*0.30+(M80*20)*0.25+((100-(I80+J80)/2))*0.20,0)</x:f>
        <x:v>74</x:v>
      </x:c>
      <x:c r="P80" s="81" t="str">
        <x:v>Visiter la vieille ville de Hyères</x:v>
      </x:c>
      <x:c r="Q80" s="81" t="str">
        <x:v>SERP Google + intentions touristiques, estimation à valider dans Keyword Planner</x:v>
      </x:c>
      <x:c r="R80" s="84" t="str">
        <x:v>Moyenne</x:v>
      </x:c>
    </x:row>
    <x:row r="81">
      <x:c r="A81" s="80" t="str">
        <x:v>centre historique Hyères</x:v>
      </x:c>
      <x:c r="B81" s="81" t="str">
        <x:v>Vieille ville &amp; culture</x:v>
      </x:c>
      <x:c r="C81" s="81" t="str">
        <x:v>Informationnel</x:v>
      </x:c>
      <x:c r="D81" s="81" t="str">
        <x:v>Découverte</x:v>
      </x:c>
      <x:c r="E81" s="82" t="n">
        <x:v>100</x:v>
      </x:c>
      <x:c r="F81" s="82" t="n">
        <x:v>500</x:v>
      </x:c>
      <x:c r="G81" s="81" t="str">
        <x:v>Faible à moyen</x:v>
      </x:c>
      <x:c r="H81" s="81" t="str">
        <x:v>Toute l'année</x:v>
      </x:c>
      <x:c r="I81" s="83" t="n">
        <x:v>24</x:v>
      </x:c>
      <x:c r="J81" s="83" t="n">
        <x:v>44</x:v>
      </x:c>
      <x:c r="K81" s="81" t="str">
        <x:v>Moyenne</x:v>
      </x:c>
      <x:c r="L81" s="81" t="str">
        <x:v>Faible</x:v>
      </x:c>
      <x:c r="M81" s="83" t="n">
        <x:v>3</x:v>
      </x:c>
      <x:c r="N81" s="83" t="n">
        <x:v>5</x:v>
      </x:c>
      <x:c r="O81" s="83" t="n">
        <x:f>ROUND((MIN(5,LN((E81+F81)/2+1)/2.3)*20)*0.25+(N81*20)*0.30+(M81*20)*0.25+((100-(I81+J81)/2))*0.20,0)</x:f>
        <x:v>71</x:v>
      </x:c>
      <x:c r="P81" s="81" t="str">
        <x:v>Circuit dans le centre historique de Hyères</x:v>
      </x:c>
      <x:c r="Q81" s="81" t="str">
        <x:v>SERP Google + intentions touristiques, estimation à valider dans Keyword Planner</x:v>
      </x:c>
      <x:c r="R81" s="84" t="str">
        <x:v>Moyenne</x:v>
      </x:c>
    </x:row>
    <x:row r="82">
      <x:c r="A82" s="80" t="str">
        <x:v>Villa Noailles Hyères</x:v>
      </x:c>
      <x:c r="B82" s="81" t="str">
        <x:v>Vieille ville &amp; culture</x:v>
      </x:c>
      <x:c r="C82" s="81" t="str">
        <x:v>Informationnel</x:v>
      </x:c>
      <x:c r="D82" s="81" t="str">
        <x:v>Découverte</x:v>
      </x:c>
      <x:c r="E82" s="82" t="n">
        <x:v>500</x:v>
      </x:c>
      <x:c r="F82" s="82" t="n">
        <x:v>2000</x:v>
      </x:c>
      <x:c r="G82" s="81" t="str">
        <x:v>Moyen</x:v>
      </x:c>
      <x:c r="H82" s="81" t="str">
        <x:v>Toute l'année</x:v>
      </x:c>
      <x:c r="I82" s="83" t="n">
        <x:v>24</x:v>
      </x:c>
      <x:c r="J82" s="83" t="n">
        <x:v>44</x:v>
      </x:c>
      <x:c r="K82" s="81" t="str">
        <x:v>Moyenne</x:v>
      </x:c>
      <x:c r="L82" s="81" t="str">
        <x:v>Faible</x:v>
      </x:c>
      <x:c r="M82" s="83" t="n">
        <x:v>3</x:v>
      </x:c>
      <x:c r="N82" s="83" t="n">
        <x:v>5</x:v>
      </x:c>
      <x:c r="O82" s="83" t="n">
        <x:f>ROUND((MIN(5,LN((E82+F82)/2+1)/2.3)*20)*0.25+(N82*20)*0.30+(M82*20)*0.25+((100-(I82+J82)/2))*0.20,0)</x:f>
        <x:v>74</x:v>
      </x:c>
      <x:c r="P82" s="81" t="str">
        <x:v>Villa Noailles : visite et informations</x:v>
      </x:c>
      <x:c r="Q82" s="81" t="str">
        <x:v>SERP Google + intentions touristiques, estimation à valider dans Keyword Planner</x:v>
      </x:c>
      <x:c r="R82" s="84" t="str">
        <x:v>Moyenne</x:v>
      </x:c>
    </x:row>
    <x:row r="83">
      <x:c r="A83" s="80" t="str">
        <x:v>château de Hyères</x:v>
      </x:c>
      <x:c r="B83" s="81" t="str">
        <x:v>Vieille ville &amp; culture</x:v>
      </x:c>
      <x:c r="C83" s="81" t="str">
        <x:v>Informationnel</x:v>
      </x:c>
      <x:c r="D83" s="81" t="str">
        <x:v>Découverte</x:v>
      </x:c>
      <x:c r="E83" s="82" t="n">
        <x:v>100</x:v>
      </x:c>
      <x:c r="F83" s="82" t="n">
        <x:v>500</x:v>
      </x:c>
      <x:c r="G83" s="81" t="str">
        <x:v>Faible à moyen</x:v>
      </x:c>
      <x:c r="H83" s="81" t="str">
        <x:v>Toute l'année</x:v>
      </x:c>
      <x:c r="I83" s="83" t="n">
        <x:v>24</x:v>
      </x:c>
      <x:c r="J83" s="83" t="n">
        <x:v>44</x:v>
      </x:c>
      <x:c r="K83" s="81" t="str">
        <x:v>Moyenne</x:v>
      </x:c>
      <x:c r="L83" s="81" t="str">
        <x:v>Faible</x:v>
      </x:c>
      <x:c r="M83" s="83" t="n">
        <x:v>3</x:v>
      </x:c>
      <x:c r="N83" s="83" t="n">
        <x:v>5</x:v>
      </x:c>
      <x:c r="O83" s="83" t="n">
        <x:f>ROUND((MIN(5,LN((E83+F83)/2+1)/2.3)*20)*0.25+(N83*20)*0.30+(M83*20)*0.25+((100-(I83+J83)/2))*0.20,0)</x:f>
        <x:v>71</x:v>
      </x:c>
      <x:c r="P83" s="81" t="str">
        <x:v>Monter au château de Hyères</x:v>
      </x:c>
      <x:c r="Q83" s="81" t="str">
        <x:v>SERP Google + intentions touristiques, estimation à valider dans Keyword Planner</x:v>
      </x:c>
      <x:c r="R83" s="84" t="str">
        <x:v>Moyenne</x:v>
      </x:c>
    </x:row>
    <x:row r="84">
      <x:c r="A84" s="80" t="str">
        <x:v>marché Hyères</x:v>
      </x:c>
      <x:c r="B84" s="81" t="str">
        <x:v>Vieille ville &amp; culture</x:v>
      </x:c>
      <x:c r="C84" s="81" t="str">
        <x:v>Informationnel</x:v>
      </x:c>
      <x:c r="D84" s="81" t="str">
        <x:v>Découverte</x:v>
      </x:c>
      <x:c r="E84" s="82" t="n">
        <x:v>500</x:v>
      </x:c>
      <x:c r="F84" s="82" t="n">
        <x:v>2000</x:v>
      </x:c>
      <x:c r="G84" s="81" t="str">
        <x:v>Moyen</x:v>
      </x:c>
      <x:c r="H84" s="81" t="str">
        <x:v>Toute l'année</x:v>
      </x:c>
      <x:c r="I84" s="83" t="n">
        <x:v>24</x:v>
      </x:c>
      <x:c r="J84" s="83" t="n">
        <x:v>44</x:v>
      </x:c>
      <x:c r="K84" s="81" t="str">
        <x:v>Moyenne</x:v>
      </x:c>
      <x:c r="L84" s="81" t="str">
        <x:v>Faible</x:v>
      </x:c>
      <x:c r="M84" s="83" t="n">
        <x:v>3</x:v>
      </x:c>
      <x:c r="N84" s="83" t="n">
        <x:v>5</x:v>
      </x:c>
      <x:c r="O84" s="83" t="n">
        <x:f>ROUND((MIN(5,LN((E84+F84)/2+1)/2.3)*20)*0.25+(N84*20)*0.30+(M84*20)*0.25+((100-(I84+J84)/2))*0.20,0)</x:f>
        <x:v>74</x:v>
      </x:c>
      <x:c r="P84" s="81" t="str">
        <x:v>Les marchés de Hyères : jours et quartiers</x:v>
      </x:c>
      <x:c r="Q84" s="81" t="str">
        <x:v>SERP Google + intentions touristiques, estimation à valider dans Keyword Planner</x:v>
      </x:c>
      <x:c r="R84" s="84" t="str">
        <x:v>Moyenne</x:v>
      </x:c>
    </x:row>
    <x:row r="85">
      <x:c r="A85" s="80" t="str">
        <x:v>marché nocturne Hyères</x:v>
      </x:c>
      <x:c r="B85" s="81" t="str">
        <x:v>Vieille ville &amp; culture</x:v>
      </x:c>
      <x:c r="C85" s="81" t="str">
        <x:v>Informationnel</x:v>
      </x:c>
      <x:c r="D85" s="81" t="str">
        <x:v>Découverte</x:v>
      </x:c>
      <x:c r="E85" s="82" t="n">
        <x:v>100</x:v>
      </x:c>
      <x:c r="F85" s="82" t="n">
        <x:v>500</x:v>
      </x:c>
      <x:c r="G85" s="81" t="str">
        <x:v>Faible à moyen</x:v>
      </x:c>
      <x:c r="H85" s="81" t="str">
        <x:v>Toute l'année</x:v>
      </x:c>
      <x:c r="I85" s="83" t="n">
        <x:v>24</x:v>
      </x:c>
      <x:c r="J85" s="83" t="n">
        <x:v>44</x:v>
      </x:c>
      <x:c r="K85" s="81" t="str">
        <x:v>Moyenne</x:v>
      </x:c>
      <x:c r="L85" s="81" t="str">
        <x:v>Faible</x:v>
      </x:c>
      <x:c r="M85" s="83" t="n">
        <x:v>3</x:v>
      </x:c>
      <x:c r="N85" s="83" t="n">
        <x:v>5</x:v>
      </x:c>
      <x:c r="O85" s="83" t="n">
        <x:f>ROUND((MIN(5,LN((E85+F85)/2+1)/2.3)*20)*0.25+(N85*20)*0.30+(M85*20)*0.25+((100-(I85+J85)/2))*0.20,0)</x:f>
        <x:v>71</x:v>
      </x:c>
      <x:c r="P85" s="81" t="str">
        <x:v>Marchés nocturnes et Nuits blanches à Hyères</x:v>
      </x:c>
      <x:c r="Q85" s="81" t="str">
        <x:v>SERP Google + intentions touristiques, estimation à valider dans Keyword Planner</x:v>
      </x:c>
      <x:c r="R85" s="84" t="str">
        <x:v>Moyenne</x:v>
      </x:c>
    </x:row>
    <x:row r="86">
      <x:c r="A86" s="80" t="str">
        <x:v>musée Hyères</x:v>
      </x:c>
      <x:c r="B86" s="81" t="str">
        <x:v>Vieille ville &amp; culture</x:v>
      </x:c>
      <x:c r="C86" s="81" t="str">
        <x:v>Informationnel</x:v>
      </x:c>
      <x:c r="D86" s="81" t="str">
        <x:v>Découverte</x:v>
      </x:c>
      <x:c r="E86" s="82" t="n">
        <x:v>100</x:v>
      </x:c>
      <x:c r="F86" s="82" t="n">
        <x:v>500</x:v>
      </x:c>
      <x:c r="G86" s="81" t="str">
        <x:v>Faible à moyen</x:v>
      </x:c>
      <x:c r="H86" s="81" t="str">
        <x:v>Toute l'année</x:v>
      </x:c>
      <x:c r="I86" s="83" t="n">
        <x:v>24</x:v>
      </x:c>
      <x:c r="J86" s="83" t="n">
        <x:v>44</x:v>
      </x:c>
      <x:c r="K86" s="81" t="str">
        <x:v>Moyenne</x:v>
      </x:c>
      <x:c r="L86" s="81" t="str">
        <x:v>Faible</x:v>
      </x:c>
      <x:c r="M86" s="83" t="n">
        <x:v>3</x:v>
      </x:c>
      <x:c r="N86" s="83" t="n">
        <x:v>5</x:v>
      </x:c>
      <x:c r="O86" s="83" t="n">
        <x:f>ROUND((MIN(5,LN((E86+F86)/2+1)/2.3)*20)*0.25+(N86*20)*0.30+(M86*20)*0.25+((100-(I86+J86)/2))*0.20,0)</x:f>
        <x:v>71</x:v>
      </x:c>
      <x:c r="P86" s="81" t="str">
        <x:v>Musées à Hyères et autour</x:v>
      </x:c>
      <x:c r="Q86" s="81" t="str">
        <x:v>SERP Google + intentions touristiques, estimation à valider dans Keyword Planner</x:v>
      </x:c>
      <x:c r="R86" s="84" t="str">
        <x:v>Moyenne</x:v>
      </x:c>
    </x:row>
    <x:row r="87">
      <x:c r="A87" s="80" t="str">
        <x:v>que faire à Hyères le soir</x:v>
      </x:c>
      <x:c r="B87" s="81" t="str">
        <x:v>Vieille ville &amp; culture</x:v>
      </x:c>
      <x:c r="C87" s="81" t="str">
        <x:v>Informationnel</x:v>
      </x:c>
      <x:c r="D87" s="81" t="str">
        <x:v>Découverte</x:v>
      </x:c>
      <x:c r="E87" s="82" t="n">
        <x:v>100</x:v>
      </x:c>
      <x:c r="F87" s="82" t="n">
        <x:v>500</x:v>
      </x:c>
      <x:c r="G87" s="81" t="str">
        <x:v>Faible à moyen</x:v>
      </x:c>
      <x:c r="H87" s="81" t="str">
        <x:v>Toute l'année</x:v>
      </x:c>
      <x:c r="I87" s="83" t="n">
        <x:v>24</x:v>
      </x:c>
      <x:c r="J87" s="83" t="n">
        <x:v>44</x:v>
      </x:c>
      <x:c r="K87" s="81" t="str">
        <x:v>Moyenne</x:v>
      </x:c>
      <x:c r="L87" s="81" t="str">
        <x:v>Faible</x:v>
      </x:c>
      <x:c r="M87" s="83" t="n">
        <x:v>3</x:v>
      </x:c>
      <x:c r="N87" s="83" t="n">
        <x:v>5</x:v>
      </x:c>
      <x:c r="O87" s="83" t="n">
        <x:f>ROUND((MIN(5,LN((E87+F87)/2+1)/2.3)*20)*0.25+(N87*20)*0.30+(M87*20)*0.25+((100-(I87+J87)/2))*0.20,0)</x:f>
        <x:v>71</x:v>
      </x:c>
      <x:c r="P87" s="81" t="str">
        <x:v>Que faire à Hyères le soir ?</x:v>
      </x:c>
      <x:c r="Q87" s="81" t="str">
        <x:v>SERP Google + intentions touristiques, estimation à valider dans Keyword Planner</x:v>
      </x:c>
      <x:c r="R87" s="84" t="str">
        <x:v>Moyenne</x:v>
      </x:c>
    </x:row>
    <x:row r="88">
      <x:c r="A88" s="80" t="str">
        <x:v>agenda Hyères</x:v>
      </x:c>
      <x:c r="B88" s="81" t="str">
        <x:v>Vieille ville &amp; culture</x:v>
      </x:c>
      <x:c r="C88" s="81" t="str">
        <x:v>Informationnel</x:v>
      </x:c>
      <x:c r="D88" s="81" t="str">
        <x:v>Découverte</x:v>
      </x:c>
      <x:c r="E88" s="82" t="n">
        <x:v>500</x:v>
      </x:c>
      <x:c r="F88" s="82" t="n">
        <x:v>2000</x:v>
      </x:c>
      <x:c r="G88" s="81" t="str">
        <x:v>Moyen</x:v>
      </x:c>
      <x:c r="H88" s="81" t="str">
        <x:v>Toute l'année</x:v>
      </x:c>
      <x:c r="I88" s="83" t="n">
        <x:v>24</x:v>
      </x:c>
      <x:c r="J88" s="83" t="n">
        <x:v>44</x:v>
      </x:c>
      <x:c r="K88" s="81" t="str">
        <x:v>Moyenne</x:v>
      </x:c>
      <x:c r="L88" s="81" t="str">
        <x:v>Faible</x:v>
      </x:c>
      <x:c r="M88" s="83" t="n">
        <x:v>3</x:v>
      </x:c>
      <x:c r="N88" s="83" t="n">
        <x:v>5</x:v>
      </x:c>
      <x:c r="O88" s="83" t="n">
        <x:f>ROUND((MIN(5,LN((E88+F88)/2+1)/2.3)*20)*0.25+(N88*20)*0.30+(M88*20)*0.25+((100-(I88+J88)/2))*0.20,0)</x:f>
        <x:v>74</x:v>
      </x:c>
      <x:c r="P88" s="81" t="str">
        <x:v>Agenda : événements à Hyères</x:v>
      </x:c>
      <x:c r="Q88" s="81" t="str">
        <x:v>SERP Google + intentions touristiques, estimation à valider dans Keyword Planner</x:v>
      </x:c>
      <x:c r="R88" s="84" t="str">
        <x:v>Moyenne</x:v>
      </x:c>
    </x:row>
    <x:row r="89">
      <x:c r="A89" s="80" t="str">
        <x:v>festival Hyères</x:v>
      </x:c>
      <x:c r="B89" s="81" t="str">
        <x:v>Vieille ville &amp; culture</x:v>
      </x:c>
      <x:c r="C89" s="81" t="str">
        <x:v>Informationnel</x:v>
      </x:c>
      <x:c r="D89" s="81" t="str">
        <x:v>Découverte</x:v>
      </x:c>
      <x:c r="E89" s="82" t="n">
        <x:v>100</x:v>
      </x:c>
      <x:c r="F89" s="82" t="n">
        <x:v>500</x:v>
      </x:c>
      <x:c r="G89" s="81" t="str">
        <x:v>Faible à moyen</x:v>
      </x:c>
      <x:c r="H89" s="81" t="str">
        <x:v>Toute l'année</x:v>
      </x:c>
      <x:c r="I89" s="83" t="n">
        <x:v>24</x:v>
      </x:c>
      <x:c r="J89" s="83" t="n">
        <x:v>44</x:v>
      </x:c>
      <x:c r="K89" s="81" t="str">
        <x:v>Moyenne</x:v>
      </x:c>
      <x:c r="L89" s="81" t="str">
        <x:v>Faible</x:v>
      </x:c>
      <x:c r="M89" s="83" t="n">
        <x:v>3</x:v>
      </x:c>
      <x:c r="N89" s="83" t="n">
        <x:v>5</x:v>
      </x:c>
      <x:c r="O89" s="83" t="n">
        <x:f>ROUND((MIN(5,LN((E89+F89)/2+1)/2.3)*20)*0.25+(N89*20)*0.30+(M89*20)*0.25+((100-(I89+J89)/2))*0.20,0)</x:f>
        <x:v>71</x:v>
      </x:c>
      <x:c r="P89" s="81" t="str">
        <x:v>Festivals et grands événements à Hyères</x:v>
      </x:c>
      <x:c r="Q89" s="81" t="str">
        <x:v>SERP Google + intentions touristiques, estimation à valider dans Keyword Planner</x:v>
      </x:c>
      <x:c r="R89" s="84" t="str">
        <x:v>Moyenne</x:v>
      </x:c>
    </x:row>
    <x:row r="90">
      <x:c r="A90" s="80" t="str">
        <x:v>restaurant Hyères</x:v>
      </x:c>
      <x:c r="B90" s="81" t="str">
        <x:v>Restaurants &amp; sorties</x:v>
      </x:c>
      <x:c r="C90" s="81" t="str">
        <x:v>Commercial</x:v>
      </x:c>
      <x:c r="D90" s="81" t="str">
        <x:v>Considération</x:v>
      </x:c>
      <x:c r="E90" s="82" t="n">
        <x:v>5000</x:v>
      </x:c>
      <x:c r="F90" s="82" t="n">
        <x:v>20000</x:v>
      </x:c>
      <x:c r="G90" s="81" t="str">
        <x:v>Très élevé</x:v>
      </x:c>
      <x:c r="H90" s="81" t="str">
        <x:v>Toute l'année</x:v>
      </x:c>
      <x:c r="I90" s="83" t="n">
        <x:v>38</x:v>
      </x:c>
      <x:c r="J90" s="83" t="n">
        <x:v>62</x:v>
      </x:c>
      <x:c r="K90" s="81" t="str">
        <x:v>Forte</x:v>
      </x:c>
      <x:c r="L90" s="81" t="str">
        <x:v>Moyenne</x:v>
      </x:c>
      <x:c r="M90" s="83" t="n">
        <x:v>4</x:v>
      </x:c>
      <x:c r="N90" s="83" t="n">
        <x:v>5</x:v>
      </x:c>
      <x:c r="O90" s="83" t="n">
        <x:f>ROUND((MIN(5,LN((E90+F90)/2+1)/2.3)*20)*0.25+(N90*20)*0.30+(M90*20)*0.25+((100-(I90+J90)/2))*0.20,0)</x:f>
        <x:v>81</x:v>
      </x:c>
      <x:c r="P90" s="81" t="str">
        <x:v>Les meilleurs restaurants de Hyères par envie</x:v>
      </x:c>
      <x:c r="Q90" s="81" t="str">
        <x:v>SERP Google + intentions touristiques, estimation à valider dans Keyword Planner</x:v>
      </x:c>
      <x:c r="R90" s="84" t="str">
        <x:v>Moyenne</x:v>
      </x:c>
    </x:row>
    <x:row r="91">
      <x:c r="A91" s="80" t="str">
        <x:v>meilleur restaurant Hyères</x:v>
      </x:c>
      <x:c r="B91" s="81" t="str">
        <x:v>Restaurants &amp; sorties</x:v>
      </x:c>
      <x:c r="C91" s="81" t="str">
        <x:v>Commercial</x:v>
      </x:c>
      <x:c r="D91" s="81" t="str">
        <x:v>Considération</x:v>
      </x:c>
      <x:c r="E91" s="82" t="n">
        <x:v>1000</x:v>
      </x:c>
      <x:c r="F91" s="82" t="n">
        <x:v>5000</x:v>
      </x:c>
      <x:c r="G91" s="81" t="str">
        <x:v>Élevé</x:v>
      </x:c>
      <x:c r="H91" s="81" t="str">
        <x:v>Toute l'année</x:v>
      </x:c>
      <x:c r="I91" s="83" t="n">
        <x:v>38</x:v>
      </x:c>
      <x:c r="J91" s="83" t="n">
        <x:v>62</x:v>
      </x:c>
      <x:c r="K91" s="81" t="str">
        <x:v>Forte</x:v>
      </x:c>
      <x:c r="L91" s="81" t="str">
        <x:v>Moyenne</x:v>
      </x:c>
      <x:c r="M91" s="83" t="n">
        <x:v>4</x:v>
      </x:c>
      <x:c r="N91" s="83" t="n">
        <x:v>5</x:v>
      </x:c>
      <x:c r="O91" s="83" t="n">
        <x:f>ROUND((MIN(5,LN((E91+F91)/2+1)/2.3)*20)*0.25+(N91*20)*0.30+(M91*20)*0.25+((100-(I91+J91)/2))*0.20,0)</x:f>
        <x:v>77</x:v>
      </x:c>
      <x:c r="P91" s="81" t="str">
        <x:v>Meilleurs restaurants à Hyères : sélection testée</x:v>
      </x:c>
      <x:c r="Q91" s="81" t="str">
        <x:v>SERP Google + intentions touristiques, estimation à valider dans Keyword Planner</x:v>
      </x:c>
      <x:c r="R91" s="84" t="str">
        <x:v>Moyenne</x:v>
      </x:c>
    </x:row>
    <x:row r="92">
      <x:c r="A92" s="80" t="str">
        <x:v>restaurant romantique Hyères</x:v>
      </x:c>
      <x:c r="B92" s="81" t="str">
        <x:v>Restaurants &amp; sorties</x:v>
      </x:c>
      <x:c r="C92" s="81" t="str">
        <x:v>Commercial</x:v>
      </x:c>
      <x:c r="D92" s="81" t="str">
        <x:v>Considération</x:v>
      </x:c>
      <x:c r="E92" s="82" t="n">
        <x:v>100</x:v>
      </x:c>
      <x:c r="F92" s="82" t="n">
        <x:v>500</x:v>
      </x:c>
      <x:c r="G92" s="81" t="str">
        <x:v>Faible à moyen</x:v>
      </x:c>
      <x:c r="H92" s="81" t="str">
        <x:v>Toute l'année</x:v>
      </x:c>
      <x:c r="I92" s="83" t="n">
        <x:v>38</x:v>
      </x:c>
      <x:c r="J92" s="83" t="n">
        <x:v>62</x:v>
      </x:c>
      <x:c r="K92" s="81" t="str">
        <x:v>Forte</x:v>
      </x:c>
      <x:c r="L92" s="81" t="str">
        <x:v>Moyenne</x:v>
      </x:c>
      <x:c r="M92" s="83" t="n">
        <x:v>4</x:v>
      </x:c>
      <x:c r="N92" s="83" t="n">
        <x:v>5</x:v>
      </x:c>
      <x:c r="O92" s="83" t="n">
        <x:f>ROUND((MIN(5,LN((E92+F92)/2+1)/2.3)*20)*0.25+(N92*20)*0.30+(M92*20)*0.25+((100-(I92+J92)/2))*0.20,0)</x:f>
        <x:v>72</x:v>
      </x:c>
      <x:c r="P92" s="81" t="str">
        <x:v>Restaurants romantiques à Hyères</x:v>
      </x:c>
      <x:c r="Q92" s="81" t="str">
        <x:v>SERP Google + intentions touristiques, estimation à valider dans Keyword Planner</x:v>
      </x:c>
      <x:c r="R92" s="84" t="str">
        <x:v>Moyenne</x:v>
      </x:c>
    </x:row>
    <x:row r="93">
      <x:c r="A93" s="80" t="str">
        <x:v>restaurant vue mer Hyères</x:v>
      </x:c>
      <x:c r="B93" s="81" t="str">
        <x:v>Restaurants &amp; sorties</x:v>
      </x:c>
      <x:c r="C93" s="81" t="str">
        <x:v>Commercial</x:v>
      </x:c>
      <x:c r="D93" s="81" t="str">
        <x:v>Considération</x:v>
      </x:c>
      <x:c r="E93" s="82" t="n">
        <x:v>500</x:v>
      </x:c>
      <x:c r="F93" s="82" t="n">
        <x:v>2000</x:v>
      </x:c>
      <x:c r="G93" s="81" t="str">
        <x:v>Moyen</x:v>
      </x:c>
      <x:c r="H93" s="81" t="str">
        <x:v>Toute l'année</x:v>
      </x:c>
      <x:c r="I93" s="83" t="n">
        <x:v>38</x:v>
      </x:c>
      <x:c r="J93" s="83" t="n">
        <x:v>62</x:v>
      </x:c>
      <x:c r="K93" s="81" t="str">
        <x:v>Forte</x:v>
      </x:c>
      <x:c r="L93" s="81" t="str">
        <x:v>Moyenne</x:v>
      </x:c>
      <x:c r="M93" s="83" t="n">
        <x:v>4</x:v>
      </x:c>
      <x:c r="N93" s="83" t="n">
        <x:v>5</x:v>
      </x:c>
      <x:c r="O93" s="83" t="n">
        <x:f>ROUND((MIN(5,LN((E93+F93)/2+1)/2.3)*20)*0.25+(N93*20)*0.30+(M93*20)*0.25+((100-(I93+J93)/2))*0.20,0)</x:f>
        <x:v>76</x:v>
      </x:c>
      <x:c r="P93" s="81" t="str">
        <x:v>Restaurants avec vue mer à Hyères</x:v>
      </x:c>
      <x:c r="Q93" s="81" t="str">
        <x:v>SERP Google + intentions touristiques, estimation à valider dans Keyword Planner</x:v>
      </x:c>
      <x:c r="R93" s="84" t="str">
        <x:v>Moyenne</x:v>
      </x:c>
    </x:row>
    <x:row r="94">
      <x:c r="A94" s="80" t="str">
        <x:v>restaurant port Hyères</x:v>
      </x:c>
      <x:c r="B94" s="81" t="str">
        <x:v>Restaurants &amp; sorties</x:v>
      </x:c>
      <x:c r="C94" s="81" t="str">
        <x:v>Commercial</x:v>
      </x:c>
      <x:c r="D94" s="81" t="str">
        <x:v>Considération</x:v>
      </x:c>
      <x:c r="E94" s="82" t="n">
        <x:v>500</x:v>
      </x:c>
      <x:c r="F94" s="82" t="n">
        <x:v>2000</x:v>
      </x:c>
      <x:c r="G94" s="81" t="str">
        <x:v>Moyen</x:v>
      </x:c>
      <x:c r="H94" s="81" t="str">
        <x:v>Toute l'année</x:v>
      </x:c>
      <x:c r="I94" s="83" t="n">
        <x:v>38</x:v>
      </x:c>
      <x:c r="J94" s="83" t="n">
        <x:v>62</x:v>
      </x:c>
      <x:c r="K94" s="81" t="str">
        <x:v>Forte</x:v>
      </x:c>
      <x:c r="L94" s="81" t="str">
        <x:v>Moyenne</x:v>
      </x:c>
      <x:c r="M94" s="83" t="n">
        <x:v>4</x:v>
      </x:c>
      <x:c r="N94" s="83" t="n">
        <x:v>5</x:v>
      </x:c>
      <x:c r="O94" s="83" t="n">
        <x:f>ROUND((MIN(5,LN((E94+F94)/2+1)/2.3)*20)*0.25+(N94*20)*0.30+(M94*20)*0.25+((100-(I94+J94)/2))*0.20,0)</x:f>
        <x:v>76</x:v>
      </x:c>
      <x:c r="P94" s="81" t="str">
        <x:v>Où manger au port de Hyères ?</x:v>
      </x:c>
      <x:c r="Q94" s="81" t="str">
        <x:v>SERP Google + intentions touristiques, estimation à valider dans Keyword Planner</x:v>
      </x:c>
      <x:c r="R94" s="84" t="str">
        <x:v>Moyenne</x:v>
      </x:c>
    </x:row>
    <x:row r="95">
      <x:c r="A95" s="80" t="str">
        <x:v>restaurant vieille ville Hyères</x:v>
      </x:c>
      <x:c r="B95" s="81" t="str">
        <x:v>Restaurants &amp; sorties</x:v>
      </x:c>
      <x:c r="C95" s="81" t="str">
        <x:v>Commercial</x:v>
      </x:c>
      <x:c r="D95" s="81" t="str">
        <x:v>Considération</x:v>
      </x:c>
      <x:c r="E95" s="82" t="n">
        <x:v>100</x:v>
      </x:c>
      <x:c r="F95" s="82" t="n">
        <x:v>500</x:v>
      </x:c>
      <x:c r="G95" s="81" t="str">
        <x:v>Faible à moyen</x:v>
      </x:c>
      <x:c r="H95" s="81" t="str">
        <x:v>Toute l'année</x:v>
      </x:c>
      <x:c r="I95" s="83" t="n">
        <x:v>38</x:v>
      </x:c>
      <x:c r="J95" s="83" t="n">
        <x:v>62</x:v>
      </x:c>
      <x:c r="K95" s="81" t="str">
        <x:v>Forte</x:v>
      </x:c>
      <x:c r="L95" s="81" t="str">
        <x:v>Moyenne</x:v>
      </x:c>
      <x:c r="M95" s="83" t="n">
        <x:v>4</x:v>
      </x:c>
      <x:c r="N95" s="83" t="n">
        <x:v>5</x:v>
      </x:c>
      <x:c r="O95" s="83" t="n">
        <x:f>ROUND((MIN(5,LN((E95+F95)/2+1)/2.3)*20)*0.25+(N95*20)*0.30+(M95*20)*0.25+((100-(I95+J95)/2))*0.20,0)</x:f>
        <x:v>72</x:v>
      </x:c>
      <x:c r="P95" s="81" t="str">
        <x:v>Où manger dans la vieille ville de Hyères ?</x:v>
      </x:c>
      <x:c r="Q95" s="81" t="str">
        <x:v>SERP Google + intentions touristiques, estimation à valider dans Keyword Planner</x:v>
      </x:c>
      <x:c r="R95" s="84" t="str">
        <x:v>Moyenne</x:v>
      </x:c>
    </x:row>
    <x:row r="96">
      <x:c r="A96" s="80" t="str">
        <x:v>restaurant Giens</x:v>
      </x:c>
      <x:c r="B96" s="81" t="str">
        <x:v>Restaurants &amp; sorties</x:v>
      </x:c>
      <x:c r="C96" s="81" t="str">
        <x:v>Commercial</x:v>
      </x:c>
      <x:c r="D96" s="81" t="str">
        <x:v>Considération</x:v>
      </x:c>
      <x:c r="E96" s="82" t="n">
        <x:v>500</x:v>
      </x:c>
      <x:c r="F96" s="82" t="n">
        <x:v>2000</x:v>
      </x:c>
      <x:c r="G96" s="81" t="str">
        <x:v>Moyen</x:v>
      </x:c>
      <x:c r="H96" s="81" t="str">
        <x:v>Toute l'année</x:v>
      </x:c>
      <x:c r="I96" s="83" t="n">
        <x:v>38</x:v>
      </x:c>
      <x:c r="J96" s="83" t="n">
        <x:v>62</x:v>
      </x:c>
      <x:c r="K96" s="81" t="str">
        <x:v>Forte</x:v>
      </x:c>
      <x:c r="L96" s="81" t="str">
        <x:v>Moyenne</x:v>
      </x:c>
      <x:c r="M96" s="83" t="n">
        <x:v>4</x:v>
      </x:c>
      <x:c r="N96" s="83" t="n">
        <x:v>5</x:v>
      </x:c>
      <x:c r="O96" s="83" t="n">
        <x:f>ROUND((MIN(5,LN((E96+F96)/2+1)/2.3)*20)*0.25+(N96*20)*0.30+(M96*20)*0.25+((100-(I96+J96)/2))*0.20,0)</x:f>
        <x:v>76</x:v>
      </x:c>
      <x:c r="P96" s="81" t="str">
        <x:v>Les bonnes tables de Giens</x:v>
      </x:c>
      <x:c r="Q96" s="81" t="str">
        <x:v>Office de tourisme + SERP Google, estimation à valider dans Keyword Planner</x:v>
      </x:c>
      <x:c r="R96" s="84" t="str">
        <x:v>Moyenne</x:v>
      </x:c>
    </x:row>
    <x:row r="97">
      <x:c r="A97" s="80" t="str">
        <x:v>restaurant La Capte</x:v>
      </x:c>
      <x:c r="B97" s="81" t="str">
        <x:v>Restaurants &amp; sorties</x:v>
      </x:c>
      <x:c r="C97" s="81" t="str">
        <x:v>Commercial</x:v>
      </x:c>
      <x:c r="D97" s="81" t="str">
        <x:v>Considération</x:v>
      </x:c>
      <x:c r="E97" s="82" t="n">
        <x:v>500</x:v>
      </x:c>
      <x:c r="F97" s="82" t="n">
        <x:v>2000</x:v>
      </x:c>
      <x:c r="G97" s="81" t="str">
        <x:v>Moyen</x:v>
      </x:c>
      <x:c r="H97" s="81" t="str">
        <x:v>Toute l'année</x:v>
      </x:c>
      <x:c r="I97" s="83" t="n">
        <x:v>38</x:v>
      </x:c>
      <x:c r="J97" s="83" t="n">
        <x:v>62</x:v>
      </x:c>
      <x:c r="K97" s="81" t="str">
        <x:v>Forte</x:v>
      </x:c>
      <x:c r="L97" s="81" t="str">
        <x:v>Moyenne</x:v>
      </x:c>
      <x:c r="M97" s="83" t="n">
        <x:v>4</x:v>
      </x:c>
      <x:c r="N97" s="83" t="n">
        <x:v>5</x:v>
      </x:c>
      <x:c r="O97" s="83" t="n">
        <x:f>ROUND((MIN(5,LN((E97+F97)/2+1)/2.3)*20)*0.25+(N97*20)*0.30+(M97*20)*0.25+((100-(I97+J97)/2))*0.20,0)</x:f>
        <x:v>76</x:v>
      </x:c>
      <x:c r="P97" s="81" t="str">
        <x:v>Où manger à La Capte ?</x:v>
      </x:c>
      <x:c r="Q97" s="81" t="str">
        <x:v>SERP Google + intentions touristiques, estimation à valider dans Keyword Planner</x:v>
      </x:c>
      <x:c r="R97" s="84" t="str">
        <x:v>Moyenne</x:v>
      </x:c>
    </x:row>
    <x:row r="98">
      <x:c r="A98" s="80" t="str">
        <x:v>restaurant plage Hyères</x:v>
      </x:c>
      <x:c r="B98" s="81" t="str">
        <x:v>Restaurants &amp; sorties</x:v>
      </x:c>
      <x:c r="C98" s="81" t="str">
        <x:v>Commercial</x:v>
      </x:c>
      <x:c r="D98" s="81" t="str">
        <x:v>Considération</x:v>
      </x:c>
      <x:c r="E98" s="82" t="n">
        <x:v>100</x:v>
      </x:c>
      <x:c r="F98" s="82" t="n">
        <x:v>500</x:v>
      </x:c>
      <x:c r="G98" s="81" t="str">
        <x:v>Faible à moyen</x:v>
      </x:c>
      <x:c r="H98" s="81" t="str">
        <x:v>Toute l'année</x:v>
      </x:c>
      <x:c r="I98" s="83" t="n">
        <x:v>38</x:v>
      </x:c>
      <x:c r="J98" s="83" t="n">
        <x:v>62</x:v>
      </x:c>
      <x:c r="K98" s="81" t="str">
        <x:v>Forte</x:v>
      </x:c>
      <x:c r="L98" s="81" t="str">
        <x:v>Moyenne</x:v>
      </x:c>
      <x:c r="M98" s="83" t="n">
        <x:v>4</x:v>
      </x:c>
      <x:c r="N98" s="83" t="n">
        <x:v>5</x:v>
      </x:c>
      <x:c r="O98" s="83" t="n">
        <x:f>ROUND((MIN(5,LN((E98+F98)/2+1)/2.3)*20)*0.25+(N98*20)*0.30+(M98*20)*0.25+((100-(I98+J98)/2))*0.20,0)</x:f>
        <x:v>72</x:v>
      </x:c>
      <x:c r="P98" s="81" t="str">
        <x:v>Restaurants de plage à Hyères</x:v>
      </x:c>
      <x:c r="Q98" s="81" t="str">
        <x:v>SERP Google + intentions touristiques, estimation à valider dans Keyword Planner</x:v>
      </x:c>
      <x:c r="R98" s="84" t="str">
        <x:v>Moyenne</x:v>
      </x:c>
    </x:row>
    <x:row r="99">
      <x:c r="A99" s="80" t="str">
        <x:v>brunch Hyères</x:v>
      </x:c>
      <x:c r="B99" s="81" t="str">
        <x:v>Restaurants &amp; sorties</x:v>
      </x:c>
      <x:c r="C99" s="81" t="str">
        <x:v>Commercial</x:v>
      </x:c>
      <x:c r="D99" s="81" t="str">
        <x:v>Considération</x:v>
      </x:c>
      <x:c r="E99" s="82" t="n">
        <x:v>100</x:v>
      </x:c>
      <x:c r="F99" s="82" t="n">
        <x:v>500</x:v>
      </x:c>
      <x:c r="G99" s="81" t="str">
        <x:v>Faible à moyen</x:v>
      </x:c>
      <x:c r="H99" s="81" t="str">
        <x:v>Toute l'année</x:v>
      </x:c>
      <x:c r="I99" s="83" t="n">
        <x:v>38</x:v>
      </x:c>
      <x:c r="J99" s="83" t="n">
        <x:v>62</x:v>
      </x:c>
      <x:c r="K99" s="81" t="str">
        <x:v>Forte</x:v>
      </x:c>
      <x:c r="L99" s="81" t="str">
        <x:v>Moyenne</x:v>
      </x:c>
      <x:c r="M99" s="83" t="n">
        <x:v>4</x:v>
      </x:c>
      <x:c r="N99" s="83" t="n">
        <x:v>5</x:v>
      </x:c>
      <x:c r="O99" s="83" t="n">
        <x:f>ROUND((MIN(5,LN((E99+F99)/2+1)/2.3)*20)*0.25+(N99*20)*0.30+(M99*20)*0.25+((100-(I99+J99)/2))*0.20,0)</x:f>
        <x:v>72</x:v>
      </x:c>
      <x:c r="P99" s="81" t="str">
        <x:v>Où bruncher à Hyères ?</x:v>
      </x:c>
      <x:c r="Q99" s="81" t="str">
        <x:v>SERP Google + intentions touristiques, estimation à valider dans Keyword Planner</x:v>
      </x:c>
      <x:c r="R99" s="84" t="str">
        <x:v>Moyenne</x:v>
      </x:c>
    </x:row>
    <x:row r="100">
      <x:c r="A100" s="80" t="str">
        <x:v>glacier Hyères</x:v>
      </x:c>
      <x:c r="B100" s="81" t="str">
        <x:v>Restaurants &amp; sorties</x:v>
      </x:c>
      <x:c r="C100" s="81" t="str">
        <x:v>Commercial</x:v>
      </x:c>
      <x:c r="D100" s="81" t="str">
        <x:v>Considération</x:v>
      </x:c>
      <x:c r="E100" s="82" t="n">
        <x:v>100</x:v>
      </x:c>
      <x:c r="F100" s="82" t="n">
        <x:v>500</x:v>
      </x:c>
      <x:c r="G100" s="81" t="str">
        <x:v>Faible à moyen</x:v>
      </x:c>
      <x:c r="H100" s="81" t="str">
        <x:v>Toute l'année</x:v>
      </x:c>
      <x:c r="I100" s="83" t="n">
        <x:v>38</x:v>
      </x:c>
      <x:c r="J100" s="83" t="n">
        <x:v>62</x:v>
      </x:c>
      <x:c r="K100" s="81" t="str">
        <x:v>Forte</x:v>
      </x:c>
      <x:c r="L100" s="81" t="str">
        <x:v>Moyenne</x:v>
      </x:c>
      <x:c r="M100" s="83" t="n">
        <x:v>4</x:v>
      </x:c>
      <x:c r="N100" s="83" t="n">
        <x:v>5</x:v>
      </x:c>
      <x:c r="O100" s="83" t="n">
        <x:f>ROUND((MIN(5,LN((E100+F100)/2+1)/2.3)*20)*0.25+(N100*20)*0.30+(M100*20)*0.25+((100-(I100+J100)/2))*0.20,0)</x:f>
        <x:v>72</x:v>
      </x:c>
      <x:c r="P100" s="81" t="str">
        <x:v>Les meilleurs glaciers de Hyères</x:v>
      </x:c>
      <x:c r="Q100" s="81" t="str">
        <x:v>SERP Google + intentions touristiques, estimation à valider dans Keyword Planner</x:v>
      </x:c>
      <x:c r="R100" s="84" t="str">
        <x:v>Moyenne</x:v>
      </x:c>
    </x:row>
    <x:row r="101">
      <x:c r="A101" s="80" t="str">
        <x:v>bar Hyères</x:v>
      </x:c>
      <x:c r="B101" s="81" t="str">
        <x:v>Restaurants &amp; sorties</x:v>
      </x:c>
      <x:c r="C101" s="81" t="str">
        <x:v>Commercial</x:v>
      </x:c>
      <x:c r="D101" s="81" t="str">
        <x:v>Considération</x:v>
      </x:c>
      <x:c r="E101" s="82" t="n">
        <x:v>500</x:v>
      </x:c>
      <x:c r="F101" s="82" t="n">
        <x:v>2000</x:v>
      </x:c>
      <x:c r="G101" s="81" t="str">
        <x:v>Moyen</x:v>
      </x:c>
      <x:c r="H101" s="81" t="str">
        <x:v>Toute l'année</x:v>
      </x:c>
      <x:c r="I101" s="83" t="n">
        <x:v>38</x:v>
      </x:c>
      <x:c r="J101" s="83" t="n">
        <x:v>62</x:v>
      </x:c>
      <x:c r="K101" s="81" t="str">
        <x:v>Forte</x:v>
      </x:c>
      <x:c r="L101" s="81" t="str">
        <x:v>Moyenne</x:v>
      </x:c>
      <x:c r="M101" s="83" t="n">
        <x:v>4</x:v>
      </x:c>
      <x:c r="N101" s="83" t="n">
        <x:v>5</x:v>
      </x:c>
      <x:c r="O101" s="83" t="n">
        <x:f>ROUND((MIN(5,LN((E101+F101)/2+1)/2.3)*20)*0.25+(N101*20)*0.30+(M101*20)*0.25+((100-(I101+J101)/2))*0.20,0)</x:f>
        <x:v>76</x:v>
      </x:c>
      <x:c r="P101" s="81" t="str">
        <x:v>Bars à Hyères : apéro, cocktails et coucher de soleil</x:v>
      </x:c>
      <x:c r="Q101" s="81" t="str">
        <x:v>SERP Google + intentions touristiques, estimation à valider dans Keyword Planner</x:v>
      </x:c>
      <x:c r="R101" s="84" t="str">
        <x:v>Moyenne</x:v>
      </x:c>
    </x:row>
    <x:row r="102">
      <x:c r="A102" s="80" t="str">
        <x:v>activité Hyères</x:v>
      </x:c>
      <x:c r="B102" s="81" t="str">
        <x:v>Activités &amp; nautisme</x:v>
      </x:c>
      <x:c r="C102" s="81" t="str">
        <x:v>Commercial</x:v>
      </x:c>
      <x:c r="D102" s="81" t="str">
        <x:v>Considération</x:v>
      </x:c>
      <x:c r="E102" s="82" t="n">
        <x:v>500</x:v>
      </x:c>
      <x:c r="F102" s="82" t="n">
        <x:v>2000</x:v>
      </x:c>
      <x:c r="G102" s="81" t="str">
        <x:v>Moyen</x:v>
      </x:c>
      <x:c r="H102" s="81" t="str">
        <x:v>Avril-octobre</x:v>
      </x:c>
      <x:c r="I102" s="83" t="n">
        <x:v>34</x:v>
      </x:c>
      <x:c r="J102" s="83" t="n">
        <x:v>58</x:v>
      </x:c>
      <x:c r="K102" s="81" t="str">
        <x:v>Moyenne</x:v>
      </x:c>
      <x:c r="L102" s="81" t="str">
        <x:v>Moyenne</x:v>
      </x:c>
      <x:c r="M102" s="83" t="n">
        <x:v>4</x:v>
      </x:c>
      <x:c r="N102" s="83" t="n">
        <x:v>5</x:v>
      </x:c>
      <x:c r="O102" s="83" t="n">
        <x:f>ROUND((MIN(5,LN((E102+F102)/2+1)/2.3)*20)*0.25+(N102*20)*0.30+(M102*20)*0.25+((100-(I102+J102)/2))*0.20,0)</x:f>
        <x:v>76</x:v>
      </x:c>
      <x:c r="P102" s="81" t="str">
        <x:v>Les meilleures activités à Hyères</x:v>
      </x:c>
      <x:c r="Q102" s="81" t="str">
        <x:v>SERP Google + intentions touristiques, estimation à valider dans Keyword Planner</x:v>
      </x:c>
      <x:c r="R102" s="84" t="str">
        <x:v>Moyenne</x:v>
      </x:c>
    </x:row>
    <x:row r="103">
      <x:c r="A103" s="80" t="str">
        <x:v>activité couple Hyères</x:v>
      </x:c>
      <x:c r="B103" s="81" t="str">
        <x:v>Activités &amp; nautisme</x:v>
      </x:c>
      <x:c r="C103" s="81" t="str">
        <x:v>Commercial</x:v>
      </x:c>
      <x:c r="D103" s="81" t="str">
        <x:v>Considération</x:v>
      </x:c>
      <x:c r="E103" s="82" t="n">
        <x:v>20</x:v>
      </x:c>
      <x:c r="F103" s="82" t="n">
        <x:v>100</x:v>
      </x:c>
      <x:c r="G103" s="81" t="str">
        <x:v>Longue traîne</x:v>
      </x:c>
      <x:c r="H103" s="81" t="str">
        <x:v>Avril-octobre</x:v>
      </x:c>
      <x:c r="I103" s="83" t="n">
        <x:v>34</x:v>
      </x:c>
      <x:c r="J103" s="83" t="n">
        <x:v>58</x:v>
      </x:c>
      <x:c r="K103" s="81" t="str">
        <x:v>Moyenne</x:v>
      </x:c>
      <x:c r="L103" s="81" t="str">
        <x:v>Moyenne</x:v>
      </x:c>
      <x:c r="M103" s="83" t="n">
        <x:v>4</x:v>
      </x:c>
      <x:c r="N103" s="83" t="n">
        <x:v>5</x:v>
      </x:c>
      <x:c r="O103" s="83" t="n">
        <x:f>ROUND((MIN(5,LN((E103+F103)/2+1)/2.3)*20)*0.25+(N103*20)*0.30+(M103*20)*0.25+((100-(I103+J103)/2))*0.20,0)</x:f>
        <x:v>70</x:v>
      </x:c>
      <x:c r="P103" s="81" t="str">
        <x:v>Activités à faire en couple à Hyères</x:v>
      </x:c>
      <x:c r="Q103" s="81" t="str">
        <x:v>SERP Google + intentions touristiques, estimation à valider dans Keyword Planner</x:v>
      </x:c>
      <x:c r="R103" s="84" t="str">
        <x:v>Moyenne</x:v>
      </x:c>
    </x:row>
    <x:row r="104">
      <x:c r="A104" s="80" t="str">
        <x:v>sortie bateau Hyères</x:v>
      </x:c>
      <x:c r="B104" s="81" t="str">
        <x:v>Activités &amp; nautisme</x:v>
      </x:c>
      <x:c r="C104" s="81" t="str">
        <x:v>Commercial</x:v>
      </x:c>
      <x:c r="D104" s="81" t="str">
        <x:v>Considération</x:v>
      </x:c>
      <x:c r="E104" s="82" t="n">
        <x:v>500</x:v>
      </x:c>
      <x:c r="F104" s="82" t="n">
        <x:v>2000</x:v>
      </x:c>
      <x:c r="G104" s="81" t="str">
        <x:v>Moyen</x:v>
      </x:c>
      <x:c r="H104" s="81" t="str">
        <x:v>Avril-octobre</x:v>
      </x:c>
      <x:c r="I104" s="83" t="n">
        <x:v>34</x:v>
      </x:c>
      <x:c r="J104" s="83" t="n">
        <x:v>58</x:v>
      </x:c>
      <x:c r="K104" s="81" t="str">
        <x:v>Moyenne</x:v>
      </x:c>
      <x:c r="L104" s="81" t="str">
        <x:v>Moyenne</x:v>
      </x:c>
      <x:c r="M104" s="83" t="n">
        <x:v>4</x:v>
      </x:c>
      <x:c r="N104" s="83" t="n">
        <x:v>5</x:v>
      </x:c>
      <x:c r="O104" s="83" t="n">
        <x:f>ROUND((MIN(5,LN((E104+F104)/2+1)/2.3)*20)*0.25+(N104*20)*0.30+(M104*20)*0.25+((100-(I104+J104)/2))*0.20,0)</x:f>
        <x:v>76</x:v>
      </x:c>
      <x:c r="P104" s="81" t="str">
        <x:v>Sorties en bateau depuis Hyères</x:v>
      </x:c>
      <x:c r="Q104" s="81" t="str">
        <x:v>SERP Google + intentions touristiques, estimation à valider dans Keyword Planner</x:v>
      </x:c>
      <x:c r="R104" s="84" t="str">
        <x:v>Moyenne</x:v>
      </x:c>
    </x:row>
    <x:row r="105">
      <x:c r="A105" s="80" t="str">
        <x:v>location bateau Hyères</x:v>
      </x:c>
      <x:c r="B105" s="81" t="str">
        <x:v>Activités &amp; nautisme</x:v>
      </x:c>
      <x:c r="C105" s="81" t="str">
        <x:v>Commercial</x:v>
      </x:c>
      <x:c r="D105" s="81" t="str">
        <x:v>Considération</x:v>
      </x:c>
      <x:c r="E105" s="82" t="n">
        <x:v>500</x:v>
      </x:c>
      <x:c r="F105" s="82" t="n">
        <x:v>2000</x:v>
      </x:c>
      <x:c r="G105" s="81" t="str">
        <x:v>Moyen</x:v>
      </x:c>
      <x:c r="H105" s="81" t="str">
        <x:v>Avril-octobre</x:v>
      </x:c>
      <x:c r="I105" s="83" t="n">
        <x:v>34</x:v>
      </x:c>
      <x:c r="J105" s="83" t="n">
        <x:v>58</x:v>
      </x:c>
      <x:c r="K105" s="81" t="str">
        <x:v>Moyenne</x:v>
      </x:c>
      <x:c r="L105" s="81" t="str">
        <x:v>Moyenne</x:v>
      </x:c>
      <x:c r="M105" s="83" t="n">
        <x:v>4</x:v>
      </x:c>
      <x:c r="N105" s="83" t="n">
        <x:v>5</x:v>
      </x:c>
      <x:c r="O105" s="83" t="n">
        <x:f>ROUND((MIN(5,LN((E105+F105)/2+1)/2.3)*20)*0.25+(N105*20)*0.30+(M105*20)*0.25+((100-(I105+J105)/2))*0.20,0)</x:f>
        <x:v>76</x:v>
      </x:c>
      <x:c r="P105" s="81" t="str">
        <x:v>Louer un bateau à Hyères : options et conseils</x:v>
      </x:c>
      <x:c r="Q105" s="81" t="str">
        <x:v>SERP Google + intentions touristiques, estimation à valider dans Keyword Planner</x:v>
      </x:c>
      <x:c r="R105" s="84" t="str">
        <x:v>Moyenne</x:v>
      </x:c>
    </x:row>
    <x:row r="106">
      <x:c r="A106" s="80" t="str">
        <x:v>kayak Hyères</x:v>
      </x:c>
      <x:c r="B106" s="81" t="str">
        <x:v>Activités &amp; nautisme</x:v>
      </x:c>
      <x:c r="C106" s="81" t="str">
        <x:v>Commercial</x:v>
      </x:c>
      <x:c r="D106" s="81" t="str">
        <x:v>Considération</x:v>
      </x:c>
      <x:c r="E106" s="82" t="n">
        <x:v>100</x:v>
      </x:c>
      <x:c r="F106" s="82" t="n">
        <x:v>500</x:v>
      </x:c>
      <x:c r="G106" s="81" t="str">
        <x:v>Faible à moyen</x:v>
      </x:c>
      <x:c r="H106" s="81" t="str">
        <x:v>Avril-octobre</x:v>
      </x:c>
      <x:c r="I106" s="83" t="n">
        <x:v>34</x:v>
      </x:c>
      <x:c r="J106" s="83" t="n">
        <x:v>58</x:v>
      </x:c>
      <x:c r="K106" s="81" t="str">
        <x:v>Moyenne</x:v>
      </x:c>
      <x:c r="L106" s="81" t="str">
        <x:v>Moyenne</x:v>
      </x:c>
      <x:c r="M106" s="83" t="n">
        <x:v>4</x:v>
      </x:c>
      <x:c r="N106" s="83" t="n">
        <x:v>5</x:v>
      </x:c>
      <x:c r="O106" s="83" t="n">
        <x:f>ROUND((MIN(5,LN((E106+F106)/2+1)/2.3)*20)*0.25+(N106*20)*0.30+(M106*20)*0.25+((100-(I106+J106)/2))*0.20,0)</x:f>
        <x:v>73</x:v>
      </x:c>
      <x:c r="P106" s="81" t="str">
        <x:v>Faire du kayak autour de Hyères</x:v>
      </x:c>
      <x:c r="Q106" s="81" t="str">
        <x:v>SERP Google + intentions touristiques, estimation à valider dans Keyword Planner</x:v>
      </x:c>
      <x:c r="R106" s="84" t="str">
        <x:v>Moyenne</x:v>
      </x:c>
    </x:row>
    <x:row r="107">
      <x:c r="A107" s="80" t="str">
        <x:v>paddle Hyères</x:v>
      </x:c>
      <x:c r="B107" s="81" t="str">
        <x:v>Activités &amp; nautisme</x:v>
      </x:c>
      <x:c r="C107" s="81" t="str">
        <x:v>Commercial</x:v>
      </x:c>
      <x:c r="D107" s="81" t="str">
        <x:v>Considération</x:v>
      </x:c>
      <x:c r="E107" s="82" t="n">
        <x:v>100</x:v>
      </x:c>
      <x:c r="F107" s="82" t="n">
        <x:v>500</x:v>
      </x:c>
      <x:c r="G107" s="81" t="str">
        <x:v>Faible à moyen</x:v>
      </x:c>
      <x:c r="H107" s="81" t="str">
        <x:v>Avril-octobre</x:v>
      </x:c>
      <x:c r="I107" s="83" t="n">
        <x:v>34</x:v>
      </x:c>
      <x:c r="J107" s="83" t="n">
        <x:v>58</x:v>
      </x:c>
      <x:c r="K107" s="81" t="str">
        <x:v>Moyenne</x:v>
      </x:c>
      <x:c r="L107" s="81" t="str">
        <x:v>Moyenne</x:v>
      </x:c>
      <x:c r="M107" s="83" t="n">
        <x:v>4</x:v>
      </x:c>
      <x:c r="N107" s="83" t="n">
        <x:v>5</x:v>
      </x:c>
      <x:c r="O107" s="83" t="n">
        <x:f>ROUND((MIN(5,LN((E107+F107)/2+1)/2.3)*20)*0.25+(N107*20)*0.30+(M107*20)*0.25+((100-(I107+J107)/2))*0.20,0)</x:f>
        <x:v>73</x:v>
      </x:c>
      <x:c r="P107" s="81" t="str">
        <x:v>Où faire du paddle à Hyères ?</x:v>
      </x:c>
      <x:c r="Q107" s="81" t="str">
        <x:v>SERP Google + intentions touristiques, estimation à valider dans Keyword Planner</x:v>
      </x:c>
      <x:c r="R107" s="84" t="str">
        <x:v>Moyenne</x:v>
      </x:c>
    </x:row>
    <x:row r="108">
      <x:c r="A108" s="80" t="str">
        <x:v>plongée Hyères</x:v>
      </x:c>
      <x:c r="B108" s="81" t="str">
        <x:v>Activités &amp; nautisme</x:v>
      </x:c>
      <x:c r="C108" s="81" t="str">
        <x:v>Commercial</x:v>
      </x:c>
      <x:c r="D108" s="81" t="str">
        <x:v>Considération</x:v>
      </x:c>
      <x:c r="E108" s="82" t="n">
        <x:v>500</x:v>
      </x:c>
      <x:c r="F108" s="82" t="n">
        <x:v>2000</x:v>
      </x:c>
      <x:c r="G108" s="81" t="str">
        <x:v>Moyen</x:v>
      </x:c>
      <x:c r="H108" s="81" t="str">
        <x:v>Avril-octobre</x:v>
      </x:c>
      <x:c r="I108" s="83" t="n">
        <x:v>34</x:v>
      </x:c>
      <x:c r="J108" s="83" t="n">
        <x:v>58</x:v>
      </x:c>
      <x:c r="K108" s="81" t="str">
        <x:v>Moyenne</x:v>
      </x:c>
      <x:c r="L108" s="81" t="str">
        <x:v>Moyenne</x:v>
      </x:c>
      <x:c r="M108" s="83" t="n">
        <x:v>4</x:v>
      </x:c>
      <x:c r="N108" s="83" t="n">
        <x:v>5</x:v>
      </x:c>
      <x:c r="O108" s="83" t="n">
        <x:f>ROUND((MIN(5,LN((E108+F108)/2+1)/2.3)*20)*0.25+(N108*20)*0.30+(M108*20)*0.25+((100-(I108+J108)/2))*0.20,0)</x:f>
        <x:v>76</x:v>
      </x:c>
      <x:c r="P108" s="81" t="str">
        <x:v>Plongée à Hyères : spots et centres</x:v>
      </x:c>
      <x:c r="Q108" s="81" t="str">
        <x:v>SERP Google + intentions touristiques, estimation à valider dans Keyword Planner</x:v>
      </x:c>
      <x:c r="R108" s="84" t="str">
        <x:v>Moyenne</x:v>
      </x:c>
    </x:row>
    <x:row r="109">
      <x:c r="A109" s="80" t="str">
        <x:v>snorkeling Hyères</x:v>
      </x:c>
      <x:c r="B109" s="81" t="str">
        <x:v>Activités &amp; nautisme</x:v>
      </x:c>
      <x:c r="C109" s="81" t="str">
        <x:v>Commercial</x:v>
      </x:c>
      <x:c r="D109" s="81" t="str">
        <x:v>Considération</x:v>
      </x:c>
      <x:c r="E109" s="82" t="n">
        <x:v>100</x:v>
      </x:c>
      <x:c r="F109" s="82" t="n">
        <x:v>500</x:v>
      </x:c>
      <x:c r="G109" s="81" t="str">
        <x:v>Faible à moyen</x:v>
      </x:c>
      <x:c r="H109" s="81" t="str">
        <x:v>Avril-octobre</x:v>
      </x:c>
      <x:c r="I109" s="83" t="n">
        <x:v>34</x:v>
      </x:c>
      <x:c r="J109" s="83" t="n">
        <x:v>58</x:v>
      </x:c>
      <x:c r="K109" s="81" t="str">
        <x:v>Moyenne</x:v>
      </x:c>
      <x:c r="L109" s="81" t="str">
        <x:v>Moyenne</x:v>
      </x:c>
      <x:c r="M109" s="83" t="n">
        <x:v>4</x:v>
      </x:c>
      <x:c r="N109" s="83" t="n">
        <x:v>5</x:v>
      </x:c>
      <x:c r="O109" s="83" t="n">
        <x:f>ROUND((MIN(5,LN((E109+F109)/2+1)/2.3)*20)*0.25+(N109*20)*0.30+(M109*20)*0.25+((100-(I109+J109)/2))*0.20,0)</x:f>
        <x:v>73</x:v>
      </x:c>
      <x:c r="P109" s="81" t="str">
        <x:v>Les meilleurs spots de snorkeling à Hyères</x:v>
      </x:c>
      <x:c r="Q109" s="81" t="str">
        <x:v>SERP Google + intentions touristiques, estimation à valider dans Keyword Planner</x:v>
      </x:c>
      <x:c r="R109" s="84" t="str">
        <x:v>Moyenne</x:v>
      </x:c>
    </x:row>
    <x:row r="110">
      <x:c r="A110" s="80" t="str">
        <x:v>kitesurf Almanarre</x:v>
      </x:c>
      <x:c r="B110" s="81" t="str">
        <x:v>Activités &amp; nautisme</x:v>
      </x:c>
      <x:c r="C110" s="81" t="str">
        <x:v>Commercial</x:v>
      </x:c>
      <x:c r="D110" s="81" t="str">
        <x:v>Considération</x:v>
      </x:c>
      <x:c r="E110" s="82" t="n">
        <x:v>500</x:v>
      </x:c>
      <x:c r="F110" s="82" t="n">
        <x:v>2000</x:v>
      </x:c>
      <x:c r="G110" s="81" t="str">
        <x:v>Moyen</x:v>
      </x:c>
      <x:c r="H110" s="81" t="str">
        <x:v>Avril-octobre</x:v>
      </x:c>
      <x:c r="I110" s="83" t="n">
        <x:v>34</x:v>
      </x:c>
      <x:c r="J110" s="83" t="n">
        <x:v>58</x:v>
      </x:c>
      <x:c r="K110" s="81" t="str">
        <x:v>Moyenne</x:v>
      </x:c>
      <x:c r="L110" s="81" t="str">
        <x:v>Moyenne</x:v>
      </x:c>
      <x:c r="M110" s="83" t="n">
        <x:v>4</x:v>
      </x:c>
      <x:c r="N110" s="83" t="n">
        <x:v>5</x:v>
      </x:c>
      <x:c r="O110" s="83" t="n">
        <x:f>ROUND((MIN(5,LN((E110+F110)/2+1)/2.3)*20)*0.25+(N110*20)*0.30+(M110*20)*0.25+((100-(I110+J110)/2))*0.20,0)</x:f>
        <x:v>76</x:v>
      </x:c>
      <x:c r="P110" s="81" t="str">
        <x:v>Kitesurf à l'Almanarre : guide du spot</x:v>
      </x:c>
      <x:c r="Q110" s="81" t="str">
        <x:v>SERP Google + intentions touristiques, estimation à valider dans Keyword Planner</x:v>
      </x:c>
      <x:c r="R110" s="84" t="str">
        <x:v>Moyenne</x:v>
      </x:c>
    </x:row>
    <x:row r="111">
      <x:c r="A111" s="80" t="str">
        <x:v>windsurf Almanarre</x:v>
      </x:c>
      <x:c r="B111" s="81" t="str">
        <x:v>Activités &amp; nautisme</x:v>
      </x:c>
      <x:c r="C111" s="81" t="str">
        <x:v>Commercial</x:v>
      </x:c>
      <x:c r="D111" s="81" t="str">
        <x:v>Considération</x:v>
      </x:c>
      <x:c r="E111" s="82" t="n">
        <x:v>100</x:v>
      </x:c>
      <x:c r="F111" s="82" t="n">
        <x:v>500</x:v>
      </x:c>
      <x:c r="G111" s="81" t="str">
        <x:v>Faible à moyen</x:v>
      </x:c>
      <x:c r="H111" s="81" t="str">
        <x:v>Avril-octobre</x:v>
      </x:c>
      <x:c r="I111" s="83" t="n">
        <x:v>34</x:v>
      </x:c>
      <x:c r="J111" s="83" t="n">
        <x:v>58</x:v>
      </x:c>
      <x:c r="K111" s="81" t="str">
        <x:v>Moyenne</x:v>
      </x:c>
      <x:c r="L111" s="81" t="str">
        <x:v>Moyenne</x:v>
      </x:c>
      <x:c r="M111" s="83" t="n">
        <x:v>4</x:v>
      </x:c>
      <x:c r="N111" s="83" t="n">
        <x:v>5</x:v>
      </x:c>
      <x:c r="O111" s="83" t="n">
        <x:f>ROUND((MIN(5,LN((E111+F111)/2+1)/2.3)*20)*0.25+(N111*20)*0.30+(M111*20)*0.25+((100-(I111+J111)/2))*0.20,0)</x:f>
        <x:v>73</x:v>
      </x:c>
      <x:c r="P111" s="81" t="str">
        <x:v>Windsurf à l'Almanarre</x:v>
      </x:c>
      <x:c r="Q111" s="81" t="str">
        <x:v>SERP Google + intentions touristiques, estimation à valider dans Keyword Planner</x:v>
      </x:c>
      <x:c r="R111" s="84" t="str">
        <x:v>Moyenne</x:v>
      </x:c>
    </x:row>
    <x:row r="112">
      <x:c r="A112" s="80" t="str">
        <x:v>location vélo Hyères</x:v>
      </x:c>
      <x:c r="B112" s="81" t="str">
        <x:v>Activités &amp; nautisme</x:v>
      </x:c>
      <x:c r="C112" s="81" t="str">
        <x:v>Commercial</x:v>
      </x:c>
      <x:c r="D112" s="81" t="str">
        <x:v>Considération</x:v>
      </x:c>
      <x:c r="E112" s="82" t="n">
        <x:v>100</x:v>
      </x:c>
      <x:c r="F112" s="82" t="n">
        <x:v>500</x:v>
      </x:c>
      <x:c r="G112" s="81" t="str">
        <x:v>Faible à moyen</x:v>
      </x:c>
      <x:c r="H112" s="81" t="str">
        <x:v>Avril-octobre</x:v>
      </x:c>
      <x:c r="I112" s="83" t="n">
        <x:v>34</x:v>
      </x:c>
      <x:c r="J112" s="83" t="n">
        <x:v>58</x:v>
      </x:c>
      <x:c r="K112" s="81" t="str">
        <x:v>Moyenne</x:v>
      </x:c>
      <x:c r="L112" s="81" t="str">
        <x:v>Moyenne</x:v>
      </x:c>
      <x:c r="M112" s="83" t="n">
        <x:v>4</x:v>
      </x:c>
      <x:c r="N112" s="83" t="n">
        <x:v>5</x:v>
      </x:c>
      <x:c r="O112" s="83" t="n">
        <x:f>ROUND((MIN(5,LN((E112+F112)/2+1)/2.3)*20)*0.25+(N112*20)*0.30+(M112*20)*0.25+((100-(I112+J112)/2))*0.20,0)</x:f>
        <x:v>73</x:v>
      </x:c>
      <x:c r="P112" s="81" t="str">
        <x:v>Louer un vélo à Hyères</x:v>
      </x:c>
      <x:c r="Q112" s="81" t="str">
        <x:v>SERP Google + intentions touristiques, estimation à valider dans Keyword Planner</x:v>
      </x:c>
      <x:c r="R112" s="84" t="str">
        <x:v>Moyenne</x:v>
      </x:c>
    </x:row>
    <x:row r="113">
      <x:c r="A113" s="80" t="str">
        <x:v>excursion Hyères</x:v>
      </x:c>
      <x:c r="B113" s="81" t="str">
        <x:v>Activités &amp; nautisme</x:v>
      </x:c>
      <x:c r="C113" s="81" t="str">
        <x:v>Commercial</x:v>
      </x:c>
      <x:c r="D113" s="81" t="str">
        <x:v>Considération</x:v>
      </x:c>
      <x:c r="E113" s="82" t="n">
        <x:v>100</x:v>
      </x:c>
      <x:c r="F113" s="82" t="n">
        <x:v>500</x:v>
      </x:c>
      <x:c r="G113" s="81" t="str">
        <x:v>Faible à moyen</x:v>
      </x:c>
      <x:c r="H113" s="81" t="str">
        <x:v>Avril-octobre</x:v>
      </x:c>
      <x:c r="I113" s="83" t="n">
        <x:v>34</x:v>
      </x:c>
      <x:c r="J113" s="83" t="n">
        <x:v>58</x:v>
      </x:c>
      <x:c r="K113" s="81" t="str">
        <x:v>Moyenne</x:v>
      </x:c>
      <x:c r="L113" s="81" t="str">
        <x:v>Moyenne</x:v>
      </x:c>
      <x:c r="M113" s="83" t="n">
        <x:v>4</x:v>
      </x:c>
      <x:c r="N113" s="83" t="n">
        <x:v>5</x:v>
      </x:c>
      <x:c r="O113" s="83" t="n">
        <x:f>ROUND((MIN(5,LN((E113+F113)/2+1)/2.3)*20)*0.25+(N113*20)*0.30+(M113*20)*0.25+((100-(I113+J113)/2))*0.20,0)</x:f>
        <x:v>73</x:v>
      </x:c>
      <x:c r="P113" s="81" t="str">
        <x:v>Les meilleures excursions depuis Hyères</x:v>
      </x:c>
      <x:c r="Q113" s="81" t="str">
        <x:v>SERP Google + intentions touristiques, estimation à valider dans Keyword Planner</x:v>
      </x:c>
      <x:c r="R113" s="84" t="str">
        <x:v>Moyenne</x:v>
      </x:c>
    </x:row>
    <x:row r="114">
      <x:c r="A114" s="80" t="str">
        <x:v>météo Hyères</x:v>
      </x:c>
      <x:c r="B114" s="81" t="str">
        <x:v>Météo &amp; pratique</x:v>
      </x:c>
      <x:c r="C114" s="81" t="str">
        <x:v>Informationnel</x:v>
      </x:c>
      <x:c r="D114" s="81" t="str">
        <x:v>Découverte</x:v>
      </x:c>
      <x:c r="E114" s="82" t="n">
        <x:v>10000</x:v>
      </x:c>
      <x:c r="F114" s="82" t="n">
        <x:v>50000</x:v>
      </x:c>
      <x:c r="G114" s="81" t="str">
        <x:v>Très élevé</x:v>
      </x:c>
      <x:c r="H114" s="81" t="str">
        <x:v>Toute l'année</x:v>
      </x:c>
      <x:c r="I114" s="83" t="n">
        <x:v>36</x:v>
      </x:c>
      <x:c r="J114" s="83" t="n">
        <x:v>60</x:v>
      </x:c>
      <x:c r="K114" s="81" t="str">
        <x:v>Forte</x:v>
      </x:c>
      <x:c r="L114" s="81" t="str">
        <x:v>Faible</x:v>
      </x:c>
      <x:c r="M114" s="83" t="n">
        <x:v>2</x:v>
      </x:c>
      <x:c r="N114" s="83" t="n">
        <x:v>3</x:v>
      </x:c>
      <x:c r="O114" s="83" t="n">
        <x:f>ROUND((MIN(5,LN((E114+F114)/2+1)/2.3)*20)*0.25+(N114*20)*0.30+(M114*20)*0.25+((100-(I114+J114)/2))*0.20,0)</x:f>
        <x:v>61</x:v>
      </x:c>
      <x:c r="P114" s="81" t="str">
        <x:v>Météo à Hyères : comment choisir ses activités</x:v>
      </x:c>
      <x:c r="Q114" s="81" t="str">
        <x:v>SERP Google + intentions touristiques, estimation à valider dans Keyword Planner</x:v>
      </x:c>
      <x:c r="R114" s="84" t="str">
        <x:v>Moyenne</x:v>
      </x:c>
    </x:row>
    <x:row r="115">
      <x:c r="A115" s="80" t="str">
        <x:v>webcam Hyères</x:v>
      </x:c>
      <x:c r="B115" s="81" t="str">
        <x:v>Météo &amp; pratique</x:v>
      </x:c>
      <x:c r="C115" s="81" t="str">
        <x:v>Informationnel</x:v>
      </x:c>
      <x:c r="D115" s="81" t="str">
        <x:v>Découverte</x:v>
      </x:c>
      <x:c r="E115" s="82" t="n">
        <x:v>1000</x:v>
      </x:c>
      <x:c r="F115" s="82" t="n">
        <x:v>5000</x:v>
      </x:c>
      <x:c r="G115" s="81" t="str">
        <x:v>Élevé</x:v>
      </x:c>
      <x:c r="H115" s="81" t="str">
        <x:v>Toute l'année</x:v>
      </x:c>
      <x:c r="I115" s="83" t="n">
        <x:v>36</x:v>
      </x:c>
      <x:c r="J115" s="83" t="n">
        <x:v>60</x:v>
      </x:c>
      <x:c r="K115" s="81" t="str">
        <x:v>Forte</x:v>
      </x:c>
      <x:c r="L115" s="81" t="str">
        <x:v>Faible</x:v>
      </x:c>
      <x:c r="M115" s="83" t="n">
        <x:v>2</x:v>
      </x:c>
      <x:c r="N115" s="83" t="n">
        <x:v>3</x:v>
      </x:c>
      <x:c r="O115" s="83" t="n">
        <x:f>ROUND((MIN(5,LN((E115+F115)/2+1)/2.3)*20)*0.25+(N115*20)*0.30+(M115*20)*0.25+((100-(I115+J115)/2))*0.20,0)</x:f>
        <x:v>56</x:v>
      </x:c>
      <x:c r="P115" s="81" t="str">
        <x:v>Webcams de Hyères : plages, port et Giens</x:v>
      </x:c>
      <x:c r="Q115" s="81" t="str">
        <x:v>SERP Google + intentions touristiques, estimation à valider dans Keyword Planner</x:v>
      </x:c>
      <x:c r="R115" s="84" t="str">
        <x:v>Moyenne</x:v>
      </x:c>
    </x:row>
    <x:row r="116">
      <x:c r="A116" s="80" t="str">
        <x:v>température eau Hyères</x:v>
      </x:c>
      <x:c r="B116" s="81" t="str">
        <x:v>Météo &amp; pratique</x:v>
      </x:c>
      <x:c r="C116" s="81" t="str">
        <x:v>Informationnel</x:v>
      </x:c>
      <x:c r="D116" s="81" t="str">
        <x:v>Découverte</x:v>
      </x:c>
      <x:c r="E116" s="82" t="n">
        <x:v>500</x:v>
      </x:c>
      <x:c r="F116" s="82" t="n">
        <x:v>2000</x:v>
      </x:c>
      <x:c r="G116" s="81" t="str">
        <x:v>Moyen</x:v>
      </x:c>
      <x:c r="H116" s="81" t="str">
        <x:v>Toute l'année</x:v>
      </x:c>
      <x:c r="I116" s="83" t="n">
        <x:v>36</x:v>
      </x:c>
      <x:c r="J116" s="83" t="n">
        <x:v>60</x:v>
      </x:c>
      <x:c r="K116" s="81" t="str">
        <x:v>Forte</x:v>
      </x:c>
      <x:c r="L116" s="81" t="str">
        <x:v>Faible</x:v>
      </x:c>
      <x:c r="M116" s="83" t="n">
        <x:v>2</x:v>
      </x:c>
      <x:c r="N116" s="83" t="n">
        <x:v>3</x:v>
      </x:c>
      <x:c r="O116" s="83" t="n">
        <x:f>ROUND((MIN(5,LN((E116+F116)/2+1)/2.3)*20)*0.25+(N116*20)*0.30+(M116*20)*0.25+((100-(I116+J116)/2))*0.20,0)</x:f>
        <x:v>54</x:v>
      </x:c>
      <x:c r="P116" s="81" t="str">
        <x:v>Température de l'eau à Hyères par mois</x:v>
      </x:c>
      <x:c r="Q116" s="81" t="str">
        <x:v>SERP Google + intentions touristiques, estimation à valider dans Keyword Planner</x:v>
      </x:c>
      <x:c r="R116" s="84" t="str">
        <x:v>Moyenne</x:v>
      </x:c>
    </x:row>
    <x:row r="117">
      <x:c r="A117" s="80" t="str">
        <x:v>Hyères en septembre</x:v>
      </x:c>
      <x:c r="B117" s="81" t="str">
        <x:v>Météo &amp; pratique</x:v>
      </x:c>
      <x:c r="C117" s="81" t="str">
        <x:v>Informationnel</x:v>
      </x:c>
      <x:c r="D117" s="81" t="str">
        <x:v>Découverte</x:v>
      </x:c>
      <x:c r="E117" s="82" t="n">
        <x:v>100</x:v>
      </x:c>
      <x:c r="F117" s="82" t="n">
        <x:v>500</x:v>
      </x:c>
      <x:c r="G117" s="81" t="str">
        <x:v>Faible à moyen</x:v>
      </x:c>
      <x:c r="H117" s="81" t="str">
        <x:v>Toute l'année</x:v>
      </x:c>
      <x:c r="I117" s="83" t="n">
        <x:v>36</x:v>
      </x:c>
      <x:c r="J117" s="83" t="n">
        <x:v>60</x:v>
      </x:c>
      <x:c r="K117" s="81" t="str">
        <x:v>Forte</x:v>
      </x:c>
      <x:c r="L117" s="81" t="str">
        <x:v>Faible</x:v>
      </x:c>
      <x:c r="M117" s="83" t="n">
        <x:v>2</x:v>
      </x:c>
      <x:c r="N117" s="83" t="n">
        <x:v>3</x:v>
      </x:c>
      <x:c r="O117" s="83" t="n">
        <x:f>ROUND((MIN(5,LN((E117+F117)/2+1)/2.3)*20)*0.25+(N117*20)*0.30+(M117*20)*0.25+((100-(I117+J117)/2))*0.20,0)</x:f>
        <x:v>51</x:v>
      </x:c>
      <x:c r="P117" s="81" t="str">
        <x:v>Hyères en septembre : météo, baignade et affluence</x:v>
      </x:c>
      <x:c r="Q117" s="81" t="str">
        <x:v>SERP Google + intentions touristiques, estimation à valider dans Keyword Planner</x:v>
      </x:c>
      <x:c r="R117" s="84" t="str">
        <x:v>Moyenne</x:v>
      </x:c>
    </x:row>
    <x:row r="118">
      <x:c r="A118" s="80" t="str">
        <x:v>Hyères en octobre</x:v>
      </x:c>
      <x:c r="B118" s="81" t="str">
        <x:v>Météo &amp; pratique</x:v>
      </x:c>
      <x:c r="C118" s="81" t="str">
        <x:v>Informationnel</x:v>
      </x:c>
      <x:c r="D118" s="81" t="str">
        <x:v>Découverte</x:v>
      </x:c>
      <x:c r="E118" s="82" t="n">
        <x:v>100</x:v>
      </x:c>
      <x:c r="F118" s="82" t="n">
        <x:v>500</x:v>
      </x:c>
      <x:c r="G118" s="81" t="str">
        <x:v>Faible à moyen</x:v>
      </x:c>
      <x:c r="H118" s="81" t="str">
        <x:v>Toute l'année</x:v>
      </x:c>
      <x:c r="I118" s="83" t="n">
        <x:v>36</x:v>
      </x:c>
      <x:c r="J118" s="83" t="n">
        <x:v>60</x:v>
      </x:c>
      <x:c r="K118" s="81" t="str">
        <x:v>Forte</x:v>
      </x:c>
      <x:c r="L118" s="81" t="str">
        <x:v>Faible</x:v>
      </x:c>
      <x:c r="M118" s="83" t="n">
        <x:v>2</x:v>
      </x:c>
      <x:c r="N118" s="83" t="n">
        <x:v>3</x:v>
      </x:c>
      <x:c r="O118" s="83" t="n">
        <x:f>ROUND((MIN(5,LN((E118+F118)/2+1)/2.3)*20)*0.25+(N118*20)*0.30+(M118*20)*0.25+((100-(I118+J118)/2))*0.20,0)</x:f>
        <x:v>51</x:v>
      </x:c>
      <x:c r="P118" s="81" t="str">
        <x:v>Hyères en octobre : que faire ?</x:v>
      </x:c>
      <x:c r="Q118" s="81" t="str">
        <x:v>SERP Google + intentions touristiques, estimation à valider dans Keyword Planner</x:v>
      </x:c>
      <x:c r="R118" s="84" t="str">
        <x:v>Moyenne</x:v>
      </x:c>
    </x:row>
    <x:row r="119">
      <x:c r="A119" s="80" t="str">
        <x:v>Hyères en mai</x:v>
      </x:c>
      <x:c r="B119" s="81" t="str">
        <x:v>Météo &amp; pratique</x:v>
      </x:c>
      <x:c r="C119" s="81" t="str">
        <x:v>Informationnel</x:v>
      </x:c>
      <x:c r="D119" s="81" t="str">
        <x:v>Découverte</x:v>
      </x:c>
      <x:c r="E119" s="82" t="n">
        <x:v>50</x:v>
      </x:c>
      <x:c r="F119" s="82" t="n">
        <x:v>200</x:v>
      </x:c>
      <x:c r="G119" s="81" t="str">
        <x:v>Longue traîne</x:v>
      </x:c>
      <x:c r="H119" s="81" t="str">
        <x:v>Toute l'année</x:v>
      </x:c>
      <x:c r="I119" s="83" t="n">
        <x:v>36</x:v>
      </x:c>
      <x:c r="J119" s="83" t="n">
        <x:v>60</x:v>
      </x:c>
      <x:c r="K119" s="81" t="str">
        <x:v>Forte</x:v>
      </x:c>
      <x:c r="L119" s="81" t="str">
        <x:v>Faible</x:v>
      </x:c>
      <x:c r="M119" s="83" t="n">
        <x:v>2</x:v>
      </x:c>
      <x:c r="N119" s="83" t="n">
        <x:v>3</x:v>
      </x:c>
      <x:c r="O119" s="83" t="n">
        <x:f>ROUND((MIN(5,LN((E119+F119)/2+1)/2.3)*20)*0.25+(N119*20)*0.30+(M119*20)*0.25+((100-(I119+J119)/2))*0.20,0)</x:f>
        <x:v>49</x:v>
      </x:c>
      <x:c r="P119" s="81" t="str">
        <x:v>Hyères en mai : le guide pratique</x:v>
      </x:c>
      <x:c r="Q119" s="81" t="str">
        <x:v>SERP Google + intentions touristiques, estimation à valider dans Keyword Planner</x:v>
      </x:c>
      <x:c r="R119" s="84" t="str">
        <x:v>Moyenne</x:v>
      </x:c>
    </x:row>
    <x:row r="120">
      <x:c r="A120" s="80" t="str">
        <x:v>Hyères en avril</x:v>
      </x:c>
      <x:c r="B120" s="81" t="str">
        <x:v>Météo &amp; pratique</x:v>
      </x:c>
      <x:c r="C120" s="81" t="str">
        <x:v>Informationnel</x:v>
      </x:c>
      <x:c r="D120" s="81" t="str">
        <x:v>Découverte</x:v>
      </x:c>
      <x:c r="E120" s="82" t="n">
        <x:v>50</x:v>
      </x:c>
      <x:c r="F120" s="82" t="n">
        <x:v>200</x:v>
      </x:c>
      <x:c r="G120" s="81" t="str">
        <x:v>Longue traîne</x:v>
      </x:c>
      <x:c r="H120" s="81" t="str">
        <x:v>Toute l'année</x:v>
      </x:c>
      <x:c r="I120" s="83" t="n">
        <x:v>36</x:v>
      </x:c>
      <x:c r="J120" s="83" t="n">
        <x:v>60</x:v>
      </x:c>
      <x:c r="K120" s="81" t="str">
        <x:v>Forte</x:v>
      </x:c>
      <x:c r="L120" s="81" t="str">
        <x:v>Faible</x:v>
      </x:c>
      <x:c r="M120" s="83" t="n">
        <x:v>2</x:v>
      </x:c>
      <x:c r="N120" s="83" t="n">
        <x:v>3</x:v>
      </x:c>
      <x:c r="O120" s="83" t="n">
        <x:f>ROUND((MIN(5,LN((E120+F120)/2+1)/2.3)*20)*0.25+(N120*20)*0.30+(M120*20)*0.25+((100-(I120+J120)/2))*0.20,0)</x:f>
        <x:v>49</x:v>
      </x:c>
      <x:c r="P120" s="81" t="str">
        <x:v>Hyères en avril : météo et activités</x:v>
      </x:c>
      <x:c r="Q120" s="81" t="str">
        <x:v>SERP Google + intentions touristiques, estimation à valider dans Keyword Planner</x:v>
      </x:c>
      <x:c r="R120" s="84" t="str">
        <x:v>Moyenne</x:v>
      </x:c>
    </x:row>
    <x:row r="121">
      <x:c r="A121" s="80" t="str">
        <x:v>où se garer à Hyères</x:v>
      </x:c>
      <x:c r="B121" s="81" t="str">
        <x:v>Météo &amp; pratique</x:v>
      </x:c>
      <x:c r="C121" s="81" t="str">
        <x:v>Informationnel</x:v>
      </x:c>
      <x:c r="D121" s="81" t="str">
        <x:v>Découverte</x:v>
      </x:c>
      <x:c r="E121" s="82" t="n">
        <x:v>100</x:v>
      </x:c>
      <x:c r="F121" s="82" t="n">
        <x:v>500</x:v>
      </x:c>
      <x:c r="G121" s="81" t="str">
        <x:v>Faible à moyen</x:v>
      </x:c>
      <x:c r="H121" s="81" t="str">
        <x:v>Toute l'année</x:v>
      </x:c>
      <x:c r="I121" s="83" t="n">
        <x:v>36</x:v>
      </x:c>
      <x:c r="J121" s="83" t="n">
        <x:v>60</x:v>
      </x:c>
      <x:c r="K121" s="81" t="str">
        <x:v>Forte</x:v>
      </x:c>
      <x:c r="L121" s="81" t="str">
        <x:v>Faible</x:v>
      </x:c>
      <x:c r="M121" s="83" t="n">
        <x:v>2</x:v>
      </x:c>
      <x:c r="N121" s="83" t="n">
        <x:v>3</x:v>
      </x:c>
      <x:c r="O121" s="83" t="n">
        <x:f>ROUND((MIN(5,LN((E121+F121)/2+1)/2.3)*20)*0.25+(N121*20)*0.30+(M121*20)*0.25+((100-(I121+J121)/2))*0.20,0)</x:f>
        <x:v>51</x:v>
      </x:c>
      <x:c r="P121" s="81" t="str">
        <x:v>Stationnement à Hyères : parkings utiles</x:v>
      </x:c>
      <x:c r="Q121" s="81" t="str">
        <x:v>SERP Google + intentions touristiques, estimation à valider dans Keyword Planner</x:v>
      </x:c>
      <x:c r="R121" s="84" t="str">
        <x:v>Moyenne</x:v>
      </x:c>
    </x:row>
    <x:row r="122">
      <x:c r="A122" s="80" t="str">
        <x:v>parking Hyères centre</x:v>
      </x:c>
      <x:c r="B122" s="81" t="str">
        <x:v>Météo &amp; pratique</x:v>
      </x:c>
      <x:c r="C122" s="81" t="str">
        <x:v>Informationnel</x:v>
      </x:c>
      <x:c r="D122" s="81" t="str">
        <x:v>Découverte</x:v>
      </x:c>
      <x:c r="E122" s="82" t="n">
        <x:v>500</x:v>
      </x:c>
      <x:c r="F122" s="82" t="n">
        <x:v>2000</x:v>
      </x:c>
      <x:c r="G122" s="81" t="str">
        <x:v>Moyen</x:v>
      </x:c>
      <x:c r="H122" s="81" t="str">
        <x:v>Toute l'année</x:v>
      </x:c>
      <x:c r="I122" s="83" t="n">
        <x:v>36</x:v>
      </x:c>
      <x:c r="J122" s="83" t="n">
        <x:v>60</x:v>
      </x:c>
      <x:c r="K122" s="81" t="str">
        <x:v>Forte</x:v>
      </x:c>
      <x:c r="L122" s="81" t="str">
        <x:v>Faible</x:v>
      </x:c>
      <x:c r="M122" s="83" t="n">
        <x:v>2</x:v>
      </x:c>
      <x:c r="N122" s="83" t="n">
        <x:v>3</x:v>
      </x:c>
      <x:c r="O122" s="83" t="n">
        <x:f>ROUND((MIN(5,LN((E122+F122)/2+1)/2.3)*20)*0.25+(N122*20)*0.30+(M122*20)*0.25+((100-(I122+J122)/2))*0.20,0)</x:f>
        <x:v>54</x:v>
      </x:c>
      <x:c r="P122" s="81" t="str">
        <x:v>Où se garer dans le centre de Hyères ?</x:v>
      </x:c>
      <x:c r="Q122" s="81" t="str">
        <x:v>SERP Google + intentions touristiques, estimation à valider dans Keyword Planner</x:v>
      </x:c>
      <x:c r="R122" s="84" t="str">
        <x:v>Moyenne</x:v>
      </x:c>
    </x:row>
    <x:row r="123">
      <x:c r="A123" s="80" t="str">
        <x:v>gare Hyères centre ville</x:v>
      </x:c>
      <x:c r="B123" s="81" t="str">
        <x:v>Météo &amp; pratique</x:v>
      </x:c>
      <x:c r="C123" s="81" t="str">
        <x:v>Informationnel</x:v>
      </x:c>
      <x:c r="D123" s="81" t="str">
        <x:v>Découverte</x:v>
      </x:c>
      <x:c r="E123" s="82" t="n">
        <x:v>100</x:v>
      </x:c>
      <x:c r="F123" s="82" t="n">
        <x:v>500</x:v>
      </x:c>
      <x:c r="G123" s="81" t="str">
        <x:v>Faible à moyen</x:v>
      </x:c>
      <x:c r="H123" s="81" t="str">
        <x:v>Toute l'année</x:v>
      </x:c>
      <x:c r="I123" s="83" t="n">
        <x:v>36</x:v>
      </x:c>
      <x:c r="J123" s="83" t="n">
        <x:v>60</x:v>
      </x:c>
      <x:c r="K123" s="81" t="str">
        <x:v>Forte</x:v>
      </x:c>
      <x:c r="L123" s="81" t="str">
        <x:v>Faible</x:v>
      </x:c>
      <x:c r="M123" s="83" t="n">
        <x:v>2</x:v>
      </x:c>
      <x:c r="N123" s="83" t="n">
        <x:v>3</x:v>
      </x:c>
      <x:c r="O123" s="83" t="n">
        <x:f>ROUND((MIN(5,LN((E123+F123)/2+1)/2.3)*20)*0.25+(N123*20)*0.30+(M123*20)*0.25+((100-(I123+J123)/2))*0.20,0)</x:f>
        <x:v>51</x:v>
      </x:c>
      <x:c r="P123" s="81" t="str">
        <x:v>De la gare de Hyères au centre et aux plages</x:v>
      </x:c>
      <x:c r="Q123" s="81" t="str">
        <x:v>SERP Google + intentions touristiques, estimation à valider dans Keyword Planner</x:v>
      </x:c>
      <x:c r="R123" s="84" t="str">
        <x:v>Moyenne</x:v>
      </x:c>
    </x:row>
    <x:row r="124">
      <x:c r="A124" s="80" t="str">
        <x:v>aéroport Hyères centre ville</x:v>
      </x:c>
      <x:c r="B124" s="81" t="str">
        <x:v>Météo &amp; pratique</x:v>
      </x:c>
      <x:c r="C124" s="81" t="str">
        <x:v>Informationnel</x:v>
      </x:c>
      <x:c r="D124" s="81" t="str">
        <x:v>Découverte</x:v>
      </x:c>
      <x:c r="E124" s="82" t="n">
        <x:v>100</x:v>
      </x:c>
      <x:c r="F124" s="82" t="n">
        <x:v>500</x:v>
      </x:c>
      <x:c r="G124" s="81" t="str">
        <x:v>Faible à moyen</x:v>
      </x:c>
      <x:c r="H124" s="81" t="str">
        <x:v>Toute l'année</x:v>
      </x:c>
      <x:c r="I124" s="83" t="n">
        <x:v>36</x:v>
      </x:c>
      <x:c r="J124" s="83" t="n">
        <x:v>60</x:v>
      </x:c>
      <x:c r="K124" s="81" t="str">
        <x:v>Forte</x:v>
      </x:c>
      <x:c r="L124" s="81" t="str">
        <x:v>Faible</x:v>
      </x:c>
      <x:c r="M124" s="83" t="n">
        <x:v>2</x:v>
      </x:c>
      <x:c r="N124" s="83" t="n">
        <x:v>3</x:v>
      </x:c>
      <x:c r="O124" s="83" t="n">
        <x:f>ROUND((MIN(5,LN((E124+F124)/2+1)/2.3)*20)*0.25+(N124*20)*0.30+(M124*20)*0.25+((100-(I124+J124)/2))*0.20,0)</x:f>
        <x:v>51</x:v>
      </x:c>
      <x:c r="P124" s="81" t="str">
        <x:v>Rejoindre Hyères depuis l'aéroport</x:v>
      </x:c>
      <x:c r="Q124" s="81" t="str">
        <x:v>SERP Google + intentions touristiques, estimation à valider dans Keyword Planner</x:v>
      </x:c>
      <x:c r="R124" s="84" t="str">
        <x:v>Moyenne</x:v>
      </x:c>
    </x:row>
    <x:row r="125">
      <x:c r="A125" s="80" t="str">
        <x:v>marché jour Hyères</x:v>
      </x:c>
      <x:c r="B125" s="81" t="str">
        <x:v>Météo &amp; pratique</x:v>
      </x:c>
      <x:c r="C125" s="81" t="str">
        <x:v>Informationnel</x:v>
      </x:c>
      <x:c r="D125" s="81" t="str">
        <x:v>Découverte</x:v>
      </x:c>
      <x:c r="E125" s="82" t="n">
        <x:v>100</x:v>
      </x:c>
      <x:c r="F125" s="82" t="n">
        <x:v>500</x:v>
      </x:c>
      <x:c r="G125" s="81" t="str">
        <x:v>Faible à moyen</x:v>
      </x:c>
      <x:c r="H125" s="81" t="str">
        <x:v>Toute l'année</x:v>
      </x:c>
      <x:c r="I125" s="83" t="n">
        <x:v>36</x:v>
      </x:c>
      <x:c r="J125" s="83" t="n">
        <x:v>60</x:v>
      </x:c>
      <x:c r="K125" s="81" t="str">
        <x:v>Forte</x:v>
      </x:c>
      <x:c r="L125" s="81" t="str">
        <x:v>Faible</x:v>
      </x:c>
      <x:c r="M125" s="83" t="n">
        <x:v>2</x:v>
      </x:c>
      <x:c r="N125" s="83" t="n">
        <x:v>3</x:v>
      </x:c>
      <x:c r="O125" s="83" t="n">
        <x:f>ROUND((MIN(5,LN((E125+F125)/2+1)/2.3)*20)*0.25+(N125*20)*0.30+(M125*20)*0.25+((100-(I125+J125)/2))*0.20,0)</x:f>
        <x:v>51</x:v>
      </x:c>
      <x:c r="P125" s="81" t="str">
        <x:v>Quels jours ont lieu les marchés de Hyères ?</x:v>
      </x:c>
      <x:c r="Q125" s="81" t="str">
        <x:v>SERP Google + intentions touristiques, estimation à valider dans Keyword Planner</x:v>
      </x:c>
      <x:c r="R125" s="84" t="str">
        <x:v>Moyenne</x:v>
      </x:c>
    </x:row>
    <x:row r="126">
      <x:c r="A126" s="80" t="str">
        <x:v>que faire autour de Hyères</x:v>
      </x:c>
      <x:c r="B126" s="81" t="str">
        <x:v>Autour de Hyères</x:v>
      </x:c>
      <x:c r="C126" s="81" t="str">
        <x:v>Informationnel</x:v>
      </x:c>
      <x:c r="D126" s="81" t="str">
        <x:v>Découverte</x:v>
      </x:c>
      <x:c r="E126" s="82" t="n">
        <x:v>500</x:v>
      </x:c>
      <x:c r="F126" s="82" t="n">
        <x:v>2000</x:v>
      </x:c>
      <x:c r="G126" s="81" t="str">
        <x:v>Moyen</x:v>
      </x:c>
      <x:c r="H126" s="81" t="str">
        <x:v>Toute l'année</x:v>
      </x:c>
      <x:c r="I126" s="83" t="n">
        <x:v>36</x:v>
      </x:c>
      <x:c r="J126" s="83" t="n">
        <x:v>60</x:v>
      </x:c>
      <x:c r="K126" s="81" t="str">
        <x:v>Forte</x:v>
      </x:c>
      <x:c r="L126" s="81" t="str">
        <x:v>Faible</x:v>
      </x:c>
      <x:c r="M126" s="83" t="n">
        <x:v>3</x:v>
      </x:c>
      <x:c r="N126" s="83" t="n">
        <x:v>4</x:v>
      </x:c>
      <x:c r="O126" s="83" t="n">
        <x:f>ROUND((MIN(5,LN((E126+F126)/2+1)/2.3)*20)*0.25+(N126*20)*0.30+(M126*20)*0.25+((100-(I126+J126)/2))*0.20,0)</x:f>
        <x:v>65</x:v>
      </x:c>
      <x:c r="P126" s="81" t="str">
        <x:v>Que faire autour de Hyères ?</x:v>
      </x:c>
      <x:c r="Q126" s="81" t="str">
        <x:v>SERP Google + intentions touristiques, estimation à valider dans Keyword Planner</x:v>
      </x:c>
      <x:c r="R126" s="84" t="str">
        <x:v>Moyenne</x:v>
      </x:c>
    </x:row>
    <x:row r="127">
      <x:c r="A127" s="80" t="str">
        <x:v>visiter autour de Hyères</x:v>
      </x:c>
      <x:c r="B127" s="81" t="str">
        <x:v>Autour de Hyères</x:v>
      </x:c>
      <x:c r="C127" s="81" t="str">
        <x:v>Informationnel</x:v>
      </x:c>
      <x:c r="D127" s="81" t="str">
        <x:v>Découverte</x:v>
      </x:c>
      <x:c r="E127" s="82" t="n">
        <x:v>100</x:v>
      </x:c>
      <x:c r="F127" s="82" t="n">
        <x:v>500</x:v>
      </x:c>
      <x:c r="G127" s="81" t="str">
        <x:v>Faible à moyen</x:v>
      </x:c>
      <x:c r="H127" s="81" t="str">
        <x:v>Toute l'année</x:v>
      </x:c>
      <x:c r="I127" s="83" t="n">
        <x:v>36</x:v>
      </x:c>
      <x:c r="J127" s="83" t="n">
        <x:v>60</x:v>
      </x:c>
      <x:c r="K127" s="81" t="str">
        <x:v>Forte</x:v>
      </x:c>
      <x:c r="L127" s="81" t="str">
        <x:v>Faible</x:v>
      </x:c>
      <x:c r="M127" s="83" t="n">
        <x:v>3</x:v>
      </x:c>
      <x:c r="N127" s="83" t="n">
        <x:v>4</x:v>
      </x:c>
      <x:c r="O127" s="83" t="n">
        <x:f>ROUND((MIN(5,LN((E127+F127)/2+1)/2.3)*20)*0.25+(N127*20)*0.30+(M127*20)*0.25+((100-(I127+J127)/2))*0.20,0)</x:f>
        <x:v>62</x:v>
      </x:c>
      <x:c r="P127" s="81" t="str">
        <x:v>Les plus beaux endroits autour de Hyères</x:v>
      </x:c>
      <x:c r="Q127" s="81" t="str">
        <x:v>SERP Google + intentions touristiques, estimation à valider dans Keyword Planner</x:v>
      </x:c>
      <x:c r="R127" s="84" t="str">
        <x:v>Moyenne</x:v>
      </x:c>
    </x:row>
    <x:row r="128">
      <x:c r="A128" s="80" t="str">
        <x:v>Carqueiranne que faire</x:v>
      </x:c>
      <x:c r="B128" s="81" t="str">
        <x:v>Autour de Hyères</x:v>
      </x:c>
      <x:c r="C128" s="81" t="str">
        <x:v>Informationnel</x:v>
      </x:c>
      <x:c r="D128" s="81" t="str">
        <x:v>Découverte</x:v>
      </x:c>
      <x:c r="E128" s="82" t="n">
        <x:v>100</x:v>
      </x:c>
      <x:c r="F128" s="82" t="n">
        <x:v>500</x:v>
      </x:c>
      <x:c r="G128" s="81" t="str">
        <x:v>Faible à moyen</x:v>
      </x:c>
      <x:c r="H128" s="81" t="str">
        <x:v>Toute l'année</x:v>
      </x:c>
      <x:c r="I128" s="83" t="n">
        <x:v>36</x:v>
      </x:c>
      <x:c r="J128" s="83" t="n">
        <x:v>60</x:v>
      </x:c>
      <x:c r="K128" s="81" t="str">
        <x:v>Forte</x:v>
      </x:c>
      <x:c r="L128" s="81" t="str">
        <x:v>Faible</x:v>
      </x:c>
      <x:c r="M128" s="83" t="n">
        <x:v>3</x:v>
      </x:c>
      <x:c r="N128" s="83" t="n">
        <x:v>4</x:v>
      </x:c>
      <x:c r="O128" s="83" t="n">
        <x:f>ROUND((MIN(5,LN((E128+F128)/2+1)/2.3)*20)*0.25+(N128*20)*0.30+(M128*20)*0.25+((100-(I128+J128)/2))*0.20,0)</x:f>
        <x:v>62</x:v>
      </x:c>
      <x:c r="P128" s="81" t="str">
        <x:v>Que faire à Carqueiranne ?</x:v>
      </x:c>
      <x:c r="Q128" s="81" t="str">
        <x:v>SERP Google + intentions touristiques, estimation à valider dans Keyword Planner</x:v>
      </x:c>
      <x:c r="R128" s="84" t="str">
        <x:v>Moyenne</x:v>
      </x:c>
    </x:row>
    <x:row r="129">
      <x:c r="A129" s="80" t="str">
        <x:v>La Londe les Maures que faire</x:v>
      </x:c>
      <x:c r="B129" s="81" t="str">
        <x:v>Autour de Hyères</x:v>
      </x:c>
      <x:c r="C129" s="81" t="str">
        <x:v>Informationnel</x:v>
      </x:c>
      <x:c r="D129" s="81" t="str">
        <x:v>Découverte</x:v>
      </x:c>
      <x:c r="E129" s="82" t="n">
        <x:v>100</x:v>
      </x:c>
      <x:c r="F129" s="82" t="n">
        <x:v>500</x:v>
      </x:c>
      <x:c r="G129" s="81" t="str">
        <x:v>Faible à moyen</x:v>
      </x:c>
      <x:c r="H129" s="81" t="str">
        <x:v>Toute l'année</x:v>
      </x:c>
      <x:c r="I129" s="83" t="n">
        <x:v>36</x:v>
      </x:c>
      <x:c r="J129" s="83" t="n">
        <x:v>60</x:v>
      </x:c>
      <x:c r="K129" s="81" t="str">
        <x:v>Forte</x:v>
      </x:c>
      <x:c r="L129" s="81" t="str">
        <x:v>Faible</x:v>
      </x:c>
      <x:c r="M129" s="83" t="n">
        <x:v>3</x:v>
      </x:c>
      <x:c r="N129" s="83" t="n">
        <x:v>4</x:v>
      </x:c>
      <x:c r="O129" s="83" t="n">
        <x:f>ROUND((MIN(5,LN((E129+F129)/2+1)/2.3)*20)*0.25+(N129*20)*0.30+(M129*20)*0.25+((100-(I129+J129)/2))*0.20,0)</x:f>
        <x:v>62</x:v>
      </x:c>
      <x:c r="P129" s="81" t="str">
        <x:v>Que faire à La Londe-les-Maures ?</x:v>
      </x:c>
      <x:c r="Q129" s="81" t="str">
        <x:v>SERP Google + intentions touristiques, estimation à valider dans Keyword Planner</x:v>
      </x:c>
      <x:c r="R129" s="84" t="str">
        <x:v>Moyenne</x:v>
      </x:c>
    </x:row>
    <x:row r="130">
      <x:c r="A130" s="80" t="str">
        <x:v>Bormes les Mimosas depuis Hyères</x:v>
      </x:c>
      <x:c r="B130" s="81" t="str">
        <x:v>Autour de Hyères</x:v>
      </x:c>
      <x:c r="C130" s="81" t="str">
        <x:v>Informationnel</x:v>
      </x:c>
      <x:c r="D130" s="81" t="str">
        <x:v>Découverte</x:v>
      </x:c>
      <x:c r="E130" s="82" t="n">
        <x:v>50</x:v>
      </x:c>
      <x:c r="F130" s="82" t="n">
        <x:v>200</x:v>
      </x:c>
      <x:c r="G130" s="81" t="str">
        <x:v>Longue traîne</x:v>
      </x:c>
      <x:c r="H130" s="81" t="str">
        <x:v>Toute l'année</x:v>
      </x:c>
      <x:c r="I130" s="83" t="n">
        <x:v>36</x:v>
      </x:c>
      <x:c r="J130" s="83" t="n">
        <x:v>60</x:v>
      </x:c>
      <x:c r="K130" s="81" t="str">
        <x:v>Forte</x:v>
      </x:c>
      <x:c r="L130" s="81" t="str">
        <x:v>Faible</x:v>
      </x:c>
      <x:c r="M130" s="83" t="n">
        <x:v>3</x:v>
      </x:c>
      <x:c r="N130" s="83" t="n">
        <x:v>4</x:v>
      </x:c>
      <x:c r="O130" s="83" t="n">
        <x:f>ROUND((MIN(5,LN((E130+F130)/2+1)/2.3)*20)*0.25+(N130*20)*0.30+(M130*20)*0.25+((100-(I130+J130)/2))*0.20,0)</x:f>
        <x:v>60</x:v>
      </x:c>
      <x:c r="P130" s="81" t="str">
        <x:v>Excursion à Bormes-les-Mimosas depuis Hyères</x:v>
      </x:c>
      <x:c r="Q130" s="81" t="str">
        <x:v>SERP Google + intentions touristiques, estimation à valider dans Keyword Planner</x:v>
      </x:c>
      <x:c r="R130" s="84" t="str">
        <x:v>Moyenne</x:v>
      </x:c>
    </x:row>
    <x:row r="131">
      <x:c r="A131" s="80" t="str">
        <x:v>Le Lavandou depuis Hyères</x:v>
      </x:c>
      <x:c r="B131" s="81" t="str">
        <x:v>Autour de Hyères</x:v>
      </x:c>
      <x:c r="C131" s="81" t="str">
        <x:v>Informationnel</x:v>
      </x:c>
      <x:c r="D131" s="81" t="str">
        <x:v>Découverte</x:v>
      </x:c>
      <x:c r="E131" s="82" t="n">
        <x:v>50</x:v>
      </x:c>
      <x:c r="F131" s="82" t="n">
        <x:v>200</x:v>
      </x:c>
      <x:c r="G131" s="81" t="str">
        <x:v>Longue traîne</x:v>
      </x:c>
      <x:c r="H131" s="81" t="str">
        <x:v>Toute l'année</x:v>
      </x:c>
      <x:c r="I131" s="83" t="n">
        <x:v>36</x:v>
      </x:c>
      <x:c r="J131" s="83" t="n">
        <x:v>60</x:v>
      </x:c>
      <x:c r="K131" s="81" t="str">
        <x:v>Forte</x:v>
      </x:c>
      <x:c r="L131" s="81" t="str">
        <x:v>Faible</x:v>
      </x:c>
      <x:c r="M131" s="83" t="n">
        <x:v>3</x:v>
      </x:c>
      <x:c r="N131" s="83" t="n">
        <x:v>4</x:v>
      </x:c>
      <x:c r="O131" s="83" t="n">
        <x:f>ROUND((MIN(5,LN((E131+F131)/2+1)/2.3)*20)*0.25+(N131*20)*0.30+(M131*20)*0.25+((100-(I131+J131)/2))*0.20,0)</x:f>
        <x:v>60</x:v>
      </x:c>
      <x:c r="P131" s="81" t="str">
        <x:v>Une journée au Lavandou depuis Hyères</x:v>
      </x:c>
      <x:c r="Q131" s="81" t="str">
        <x:v>SERP Google + intentions touristiques, estimation à valider dans Keyword Planner</x:v>
      </x:c>
      <x:c r="R131" s="84" t="str">
        <x:v>Moyenne</x:v>
      </x:c>
    </x:row>
    <x:row r="132">
      <x:c r="A132" s="80" t="str">
        <x:v>Toulon depuis Hyères</x:v>
      </x:c>
      <x:c r="B132" s="81" t="str">
        <x:v>Autour de Hyères</x:v>
      </x:c>
      <x:c r="C132" s="81" t="str">
        <x:v>Informationnel</x:v>
      </x:c>
      <x:c r="D132" s="81" t="str">
        <x:v>Découverte</x:v>
      </x:c>
      <x:c r="E132" s="82" t="n">
        <x:v>50</x:v>
      </x:c>
      <x:c r="F132" s="82" t="n">
        <x:v>200</x:v>
      </x:c>
      <x:c r="G132" s="81" t="str">
        <x:v>Longue traîne</x:v>
      </x:c>
      <x:c r="H132" s="81" t="str">
        <x:v>Toute l'année</x:v>
      </x:c>
      <x:c r="I132" s="83" t="n">
        <x:v>36</x:v>
      </x:c>
      <x:c r="J132" s="83" t="n">
        <x:v>60</x:v>
      </x:c>
      <x:c r="K132" s="81" t="str">
        <x:v>Forte</x:v>
      </x:c>
      <x:c r="L132" s="81" t="str">
        <x:v>Faible</x:v>
      </x:c>
      <x:c r="M132" s="83" t="n">
        <x:v>3</x:v>
      </x:c>
      <x:c r="N132" s="83" t="n">
        <x:v>4</x:v>
      </x:c>
      <x:c r="O132" s="83" t="n">
        <x:f>ROUND((MIN(5,LN((E132+F132)/2+1)/2.3)*20)*0.25+(N132*20)*0.30+(M132*20)*0.25+((100-(I132+J132)/2))*0.20,0)</x:f>
        <x:v>60</x:v>
      </x:c>
      <x:c r="P132" s="81" t="str">
        <x:v>Visiter Toulon depuis Hyères</x:v>
      </x:c>
      <x:c r="Q132" s="81" t="str">
        <x:v>SERP Google + intentions touristiques, estimation à valider dans Keyword Planner</x:v>
      </x:c>
      <x:c r="R132" s="84" t="str">
        <x:v>Moyenne</x:v>
      </x:c>
    </x:row>
    <x:row r="133">
      <x:c r="A133" s="80" t="str">
        <x:v>plage autour de Hyères</x:v>
      </x:c>
      <x:c r="B133" s="81" t="str">
        <x:v>Autour de Hyères</x:v>
      </x:c>
      <x:c r="C133" s="81" t="str">
        <x:v>Informationnel</x:v>
      </x:c>
      <x:c r="D133" s="81" t="str">
        <x:v>Découverte</x:v>
      </x:c>
      <x:c r="E133" s="82" t="n">
        <x:v>100</x:v>
      </x:c>
      <x:c r="F133" s="82" t="n">
        <x:v>500</x:v>
      </x:c>
      <x:c r="G133" s="81" t="str">
        <x:v>Faible à moyen</x:v>
      </x:c>
      <x:c r="H133" s="81" t="str">
        <x:v>Toute l'année</x:v>
      </x:c>
      <x:c r="I133" s="83" t="n">
        <x:v>36</x:v>
      </x:c>
      <x:c r="J133" s="83" t="n">
        <x:v>60</x:v>
      </x:c>
      <x:c r="K133" s="81" t="str">
        <x:v>Forte</x:v>
      </x:c>
      <x:c r="L133" s="81" t="str">
        <x:v>Faible</x:v>
      </x:c>
      <x:c r="M133" s="83" t="n">
        <x:v>3</x:v>
      </x:c>
      <x:c r="N133" s="83" t="n">
        <x:v>4</x:v>
      </x:c>
      <x:c r="O133" s="83" t="n">
        <x:f>ROUND((MIN(5,LN((E133+F133)/2+1)/2.3)*20)*0.25+(N133*20)*0.30+(M133*20)*0.25+((100-(I133+J133)/2))*0.20,0)</x:f>
        <x:v>62</x:v>
      </x:c>
      <x:c r="P133" s="81" t="str">
        <x:v>Les plus belles plages autour de Hyères</x:v>
      </x:c>
      <x:c r="Q133" s="81" t="str">
        <x:v>SERP Google + intentions touristiques, estimation à valider dans Keyword Planner</x:v>
      </x:c>
      <x:c r="R133" s="84" t="str">
        <x:v>Moyenne</x:v>
      </x:c>
    </x:row>
    <x:row r="134">
      <x:c r="A134" s="80" t="str">
        <x:v>village autour de Hyères</x:v>
      </x:c>
      <x:c r="B134" s="81" t="str">
        <x:v>Autour de Hyères</x:v>
      </x:c>
      <x:c r="C134" s="81" t="str">
        <x:v>Informationnel</x:v>
      </x:c>
      <x:c r="D134" s="81" t="str">
        <x:v>Découverte</x:v>
      </x:c>
      <x:c r="E134" s="82" t="n">
        <x:v>50</x:v>
      </x:c>
      <x:c r="F134" s="82" t="n">
        <x:v>200</x:v>
      </x:c>
      <x:c r="G134" s="81" t="str">
        <x:v>Longue traîne</x:v>
      </x:c>
      <x:c r="H134" s="81" t="str">
        <x:v>Toute l'année</x:v>
      </x:c>
      <x:c r="I134" s="83" t="n">
        <x:v>36</x:v>
      </x:c>
      <x:c r="J134" s="83" t="n">
        <x:v>60</x:v>
      </x:c>
      <x:c r="K134" s="81" t="str">
        <x:v>Forte</x:v>
      </x:c>
      <x:c r="L134" s="81" t="str">
        <x:v>Faible</x:v>
      </x:c>
      <x:c r="M134" s="83" t="n">
        <x:v>3</x:v>
      </x:c>
      <x:c r="N134" s="83" t="n">
        <x:v>4</x:v>
      </x:c>
      <x:c r="O134" s="83" t="n">
        <x:f>ROUND((MIN(5,LN((E134+F134)/2+1)/2.3)*20)*0.25+(N134*20)*0.30+(M134*20)*0.25+((100-(I134+J134)/2))*0.20,0)</x:f>
        <x:v>60</x:v>
      </x:c>
      <x:c r="P134" s="81" t="str">
        <x:v>Les plus beaux villages autour de Hyères</x:v>
      </x:c>
      <x:c r="Q134" s="81" t="str">
        <x:v>SERP Google + intentions touristiques, estimation à valider dans Keyword Planner</x:v>
      </x:c>
      <x:c r="R134" s="84" t="str">
        <x:v>Moyenne</x:v>
      </x:c>
    </x:row>
    <x:row r="135">
      <x:c r="A135" s="80" t="str">
        <x:v>route des vins Hyères</x:v>
      </x:c>
      <x:c r="B135" s="81" t="str">
        <x:v>Autour de Hyères</x:v>
      </x:c>
      <x:c r="C135" s="81" t="str">
        <x:v>Informationnel</x:v>
      </x:c>
      <x:c r="D135" s="81" t="str">
        <x:v>Découverte</x:v>
      </x:c>
      <x:c r="E135" s="82" t="n">
        <x:v>50</x:v>
      </x:c>
      <x:c r="F135" s="82" t="n">
        <x:v>200</x:v>
      </x:c>
      <x:c r="G135" s="81" t="str">
        <x:v>Longue traîne</x:v>
      </x:c>
      <x:c r="H135" s="81" t="str">
        <x:v>Toute l'année</x:v>
      </x:c>
      <x:c r="I135" s="83" t="n">
        <x:v>36</x:v>
      </x:c>
      <x:c r="J135" s="83" t="n">
        <x:v>60</x:v>
      </x:c>
      <x:c r="K135" s="81" t="str">
        <x:v>Forte</x:v>
      </x:c>
      <x:c r="L135" s="81" t="str">
        <x:v>Faible</x:v>
      </x:c>
      <x:c r="M135" s="83" t="n">
        <x:v>3</x:v>
      </x:c>
      <x:c r="N135" s="83" t="n">
        <x:v>4</x:v>
      </x:c>
      <x:c r="O135" s="83" t="n">
        <x:f>ROUND((MIN(5,LN((E135+F135)/2+1)/2.3)*20)*0.25+(N135*20)*0.30+(M135*20)*0.25+((100-(I135+J135)/2))*0.20,0)</x:f>
        <x:v>60</x:v>
      </x:c>
      <x:c r="P135" s="81" t="str">
        <x:v>Domaines et vins autour de Hyères</x:v>
      </x:c>
      <x:c r="Q135" s="81" t="str">
        <x:v>SERP Google + intentions touristiques, estimation à valider dans Keyword Planner</x:v>
      </x:c>
      <x:c r="R135" s="84" t="str">
        <x:v>Moyenne</x:v>
      </x:c>
    </x:row>
    <x:row r="136">
      <x:c r="A136" s="80" t="str">
        <x:v>location vacances Hyères</x:v>
      </x:c>
      <x:c r="B136" s="81" t="str">
        <x:v>Hébergement &amp; réservation</x:v>
      </x:c>
      <x:c r="C136" s="81" t="str">
        <x:v>Transactionnel</x:v>
      </x:c>
      <x:c r="D136" s="81" t="str">
        <x:v>Décision</x:v>
      </x:c>
      <x:c r="E136" s="82" t="n">
        <x:v>5000</x:v>
      </x:c>
      <x:c r="F136" s="82" t="n">
        <x:v>20000</x:v>
      </x:c>
      <x:c r="G136" s="81" t="str">
        <x:v>Très élevé</x:v>
      </x:c>
      <x:c r="H136" s="81" t="str">
        <x:v>Toute l'année</x:v>
      </x:c>
      <x:c r="I136" s="83" t="n">
        <x:v>52</x:v>
      </x:c>
      <x:c r="J136" s="83" t="n">
        <x:v>78</x:v>
      </x:c>
      <x:c r="K136" s="81" t="str">
        <x:v>Très forte</x:v>
      </x:c>
      <x:c r="L136" s="81" t="str">
        <x:v>Forte</x:v>
      </x:c>
      <x:c r="M136" s="83" t="n">
        <x:v>5</x:v>
      </x:c>
      <x:c r="N136" s="83" t="n">
        <x:v>5</x:v>
      </x:c>
      <x:c r="O136" s="83" t="n">
        <x:f>ROUND((MIN(5,LN((E136+F136)/2+1)/2.3)*20)*0.25+(N136*20)*0.30+(M136*20)*0.25+((100-(I136+J136)/2))*0.20,0)</x:f>
        <x:v>83</x:v>
      </x:c>
      <x:c r="P136" s="81" t="str">
        <x:v>Page commerciale : location de vacances à Hyères</x:v>
      </x:c>
      <x:c r="Q136" s="81" t="str">
        <x:v>SERP Google + intentions touristiques, estimation à valider dans Keyword Planner</x:v>
      </x:c>
      <x:c r="R136" s="84" t="str">
        <x:v>Moyenne</x:v>
      </x:c>
    </x:row>
    <x:row r="137">
      <x:c r="A137" s="80" t="str">
        <x:v>location saisonnière Hyères</x:v>
      </x:c>
      <x:c r="B137" s="81" t="str">
        <x:v>Hébergement &amp; réservation</x:v>
      </x:c>
      <x:c r="C137" s="81" t="str">
        <x:v>Transactionnel</x:v>
      </x:c>
      <x:c r="D137" s="81" t="str">
        <x:v>Décision</x:v>
      </x:c>
      <x:c r="E137" s="82" t="n">
        <x:v>1000</x:v>
      </x:c>
      <x:c r="F137" s="82" t="n">
        <x:v>5000</x:v>
      </x:c>
      <x:c r="G137" s="81" t="str">
        <x:v>Élevé</x:v>
      </x:c>
      <x:c r="H137" s="81" t="str">
        <x:v>Toute l'année</x:v>
      </x:c>
      <x:c r="I137" s="83" t="n">
        <x:v>52</x:v>
      </x:c>
      <x:c r="J137" s="83" t="n">
        <x:v>78</x:v>
      </x:c>
      <x:c r="K137" s="81" t="str">
        <x:v>Très forte</x:v>
      </x:c>
      <x:c r="L137" s="81" t="str">
        <x:v>Forte</x:v>
      </x:c>
      <x:c r="M137" s="83" t="n">
        <x:v>5</x:v>
      </x:c>
      <x:c r="N137" s="83" t="n">
        <x:v>5</x:v>
      </x:c>
      <x:c r="O137" s="83" t="n">
        <x:f>ROUND((MIN(5,LN((E137+F137)/2+1)/2.3)*20)*0.25+(N137*20)*0.30+(M137*20)*0.25+((100-(I137+J137)/2))*0.20,0)</x:f>
        <x:v>79</x:v>
      </x:c>
      <x:c r="P137" s="81" t="str">
        <x:v>Page commerciale : location saisonnière à Hyères</x:v>
      </x:c>
      <x:c r="Q137" s="81" t="str">
        <x:v>SERP Google + intentions touristiques, estimation à valider dans Keyword Planner</x:v>
      </x:c>
      <x:c r="R137" s="84" t="str">
        <x:v>Moyenne</x:v>
      </x:c>
    </x:row>
    <x:row r="138">
      <x:c r="A138" s="80" t="str">
        <x:v>appartement Hyères vacances</x:v>
      </x:c>
      <x:c r="B138" s="81" t="str">
        <x:v>Hébergement &amp; réservation</x:v>
      </x:c>
      <x:c r="C138" s="81" t="str">
        <x:v>Transactionnel</x:v>
      </x:c>
      <x:c r="D138" s="81" t="str">
        <x:v>Décision</x:v>
      </x:c>
      <x:c r="E138" s="82" t="n">
        <x:v>500</x:v>
      </x:c>
      <x:c r="F138" s="82" t="n">
        <x:v>2000</x:v>
      </x:c>
      <x:c r="G138" s="81" t="str">
        <x:v>Moyen</x:v>
      </x:c>
      <x:c r="H138" s="81" t="str">
        <x:v>Toute l'année</x:v>
      </x:c>
      <x:c r="I138" s="83" t="n">
        <x:v>52</x:v>
      </x:c>
      <x:c r="J138" s="83" t="n">
        <x:v>78</x:v>
      </x:c>
      <x:c r="K138" s="81" t="str">
        <x:v>Très forte</x:v>
      </x:c>
      <x:c r="L138" s="81" t="str">
        <x:v>Forte</x:v>
      </x:c>
      <x:c r="M138" s="83" t="n">
        <x:v>5</x:v>
      </x:c>
      <x:c r="N138" s="83" t="n">
        <x:v>5</x:v>
      </x:c>
      <x:c r="O138" s="83" t="n">
        <x:f>ROUND((MIN(5,LN((E138+F138)/2+1)/2.3)*20)*0.25+(N138*20)*0.30+(M138*20)*0.25+((100-(I138+J138)/2))*0.20,0)</x:f>
        <x:v>78</x:v>
      </x:c>
      <x:c r="P138" s="81" t="str">
        <x:v>Appartement de vacances à Hyères</x:v>
      </x:c>
      <x:c r="Q138" s="81" t="str">
        <x:v>SERP Google + intentions touristiques, estimation à valider dans Keyword Planner</x:v>
      </x:c>
      <x:c r="R138" s="84" t="str">
        <x:v>Moyenne</x:v>
      </x:c>
    </x:row>
    <x:row r="139">
      <x:c r="A139" s="80" t="str">
        <x:v>studio Hyères vacances</x:v>
      </x:c>
      <x:c r="B139" s="81" t="str">
        <x:v>Hébergement &amp; réservation</x:v>
      </x:c>
      <x:c r="C139" s="81" t="str">
        <x:v>Transactionnel</x:v>
      </x:c>
      <x:c r="D139" s="81" t="str">
        <x:v>Décision</x:v>
      </x:c>
      <x:c r="E139" s="82" t="n">
        <x:v>100</x:v>
      </x:c>
      <x:c r="F139" s="82" t="n">
        <x:v>500</x:v>
      </x:c>
      <x:c r="G139" s="81" t="str">
        <x:v>Faible à moyen</x:v>
      </x:c>
      <x:c r="H139" s="81" t="str">
        <x:v>Toute l'année</x:v>
      </x:c>
      <x:c r="I139" s="83" t="n">
        <x:v>52</x:v>
      </x:c>
      <x:c r="J139" s="83" t="n">
        <x:v>78</x:v>
      </x:c>
      <x:c r="K139" s="81" t="str">
        <x:v>Très forte</x:v>
      </x:c>
      <x:c r="L139" s="81" t="str">
        <x:v>Forte</x:v>
      </x:c>
      <x:c r="M139" s="83" t="n">
        <x:v>5</x:v>
      </x:c>
      <x:c r="N139" s="83" t="n">
        <x:v>5</x:v>
      </x:c>
      <x:c r="O139" s="83" t="n">
        <x:f>ROUND((MIN(5,LN((E139+F139)/2+1)/2.3)*20)*0.25+(N139*20)*0.30+(M139*20)*0.25+((100-(I139+J139)/2))*0.20,0)</x:f>
        <x:v>74</x:v>
      </x:c>
      <x:c r="P139" s="81" t="str">
        <x:v>Studio pour deux à Hyères</x:v>
      </x:c>
      <x:c r="Q139" s="81" t="str">
        <x:v>SERP Google + intentions touristiques, estimation à valider dans Keyword Planner</x:v>
      </x:c>
      <x:c r="R139" s="84" t="str">
        <x:v>Moyenne</x:v>
      </x:c>
    </x:row>
    <x:row r="140">
      <x:c r="A140" s="80" t="str">
        <x:v>location Hyères vue mer</x:v>
      </x:c>
      <x:c r="B140" s="81" t="str">
        <x:v>Hébergement &amp; réservation</x:v>
      </x:c>
      <x:c r="C140" s="81" t="str">
        <x:v>Transactionnel</x:v>
      </x:c>
      <x:c r="D140" s="81" t="str">
        <x:v>Décision</x:v>
      </x:c>
      <x:c r="E140" s="82" t="n">
        <x:v>100</x:v>
      </x:c>
      <x:c r="F140" s="82" t="n">
        <x:v>500</x:v>
      </x:c>
      <x:c r="G140" s="81" t="str">
        <x:v>Faible à moyen</x:v>
      </x:c>
      <x:c r="H140" s="81" t="str">
        <x:v>Toute l'année</x:v>
      </x:c>
      <x:c r="I140" s="83" t="n">
        <x:v>52</x:v>
      </x:c>
      <x:c r="J140" s="83" t="n">
        <x:v>78</x:v>
      </x:c>
      <x:c r="K140" s="81" t="str">
        <x:v>Très forte</x:v>
      </x:c>
      <x:c r="L140" s="81" t="str">
        <x:v>Forte</x:v>
      </x:c>
      <x:c r="M140" s="83" t="n">
        <x:v>5</x:v>
      </x:c>
      <x:c r="N140" s="83" t="n">
        <x:v>5</x:v>
      </x:c>
      <x:c r="O140" s="83" t="n">
        <x:f>ROUND((MIN(5,LN((E140+F140)/2+1)/2.3)*20)*0.25+(N140*20)*0.30+(M140*20)*0.25+((100-(I140+J140)/2))*0.20,0)</x:f>
        <x:v>74</x:v>
      </x:c>
      <x:c r="P140" s="81" t="str">
        <x:v>Location à Hyères avec vue mer</x:v>
      </x:c>
      <x:c r="Q140" s="81" t="str">
        <x:v>SERP Google + intentions touristiques, estimation à valider dans Keyword Planner</x:v>
      </x:c>
      <x:c r="R140" s="84" t="str">
        <x:v>Moyenne</x:v>
      </x:c>
    </x:row>
    <x:row r="141">
      <x:c r="A141" s="80" t="str">
        <x:v>location Hyères piscine</x:v>
      </x:c>
      <x:c r="B141" s="81" t="str">
        <x:v>Hébergement &amp; réservation</x:v>
      </x:c>
      <x:c r="C141" s="81" t="str">
        <x:v>Transactionnel</x:v>
      </x:c>
      <x:c r="D141" s="81" t="str">
        <x:v>Décision</x:v>
      </x:c>
      <x:c r="E141" s="82" t="n">
        <x:v>500</x:v>
      </x:c>
      <x:c r="F141" s="82" t="n">
        <x:v>2000</x:v>
      </x:c>
      <x:c r="G141" s="81" t="str">
        <x:v>Moyen</x:v>
      </x:c>
      <x:c r="H141" s="81" t="str">
        <x:v>Toute l'année</x:v>
      </x:c>
      <x:c r="I141" s="83" t="n">
        <x:v>52</x:v>
      </x:c>
      <x:c r="J141" s="83" t="n">
        <x:v>78</x:v>
      </x:c>
      <x:c r="K141" s="81" t="str">
        <x:v>Très forte</x:v>
      </x:c>
      <x:c r="L141" s="81" t="str">
        <x:v>Forte</x:v>
      </x:c>
      <x:c r="M141" s="83" t="n">
        <x:v>5</x:v>
      </x:c>
      <x:c r="N141" s="83" t="n">
        <x:v>5</x:v>
      </x:c>
      <x:c r="O141" s="83" t="n">
        <x:f>ROUND((MIN(5,LN((E141+F141)/2+1)/2.3)*20)*0.25+(N141*20)*0.30+(M141*20)*0.25+((100-(I141+J141)/2))*0.20,0)</x:f>
        <x:v>78</x:v>
      </x:c>
      <x:c r="P141" s="81" t="str">
        <x:v>Location à Hyères avec piscine</x:v>
      </x:c>
      <x:c r="Q141" s="81" t="str">
        <x:v>SERP Google + intentions touristiques, estimation à valider dans Keyword Planner</x:v>
      </x:c>
      <x:c r="R141" s="84" t="str">
        <x:v>Moyenne</x:v>
      </x:c>
    </x:row>
    <x:row r="142">
      <x:c r="A142" s="80" t="str">
        <x:v>location Hyères couple</x:v>
      </x:c>
      <x:c r="B142" s="81" t="str">
        <x:v>Hébergement &amp; réservation</x:v>
      </x:c>
      <x:c r="C142" s="81" t="str">
        <x:v>Transactionnel</x:v>
      </x:c>
      <x:c r="D142" s="81" t="str">
        <x:v>Décision</x:v>
      </x:c>
      <x:c r="E142" s="82" t="n">
        <x:v>20</x:v>
      </x:c>
      <x:c r="F142" s="82" t="n">
        <x:v>100</x:v>
      </x:c>
      <x:c r="G142" s="81" t="str">
        <x:v>Longue traîne</x:v>
      </x:c>
      <x:c r="H142" s="81" t="str">
        <x:v>Toute l'année</x:v>
      </x:c>
      <x:c r="I142" s="83" t="n">
        <x:v>52</x:v>
      </x:c>
      <x:c r="J142" s="83" t="n">
        <x:v>78</x:v>
      </x:c>
      <x:c r="K142" s="81" t="str">
        <x:v>Très forte</x:v>
      </x:c>
      <x:c r="L142" s="81" t="str">
        <x:v>Forte</x:v>
      </x:c>
      <x:c r="M142" s="83" t="n">
        <x:v>5</x:v>
      </x:c>
      <x:c r="N142" s="83" t="n">
        <x:v>5</x:v>
      </x:c>
      <x:c r="O142" s="83" t="n">
        <x:f>ROUND((MIN(5,LN((E142+F142)/2+1)/2.3)*20)*0.25+(N142*20)*0.30+(M142*20)*0.25+((100-(I142+J142)/2))*0.20,0)</x:f>
        <x:v>71</x:v>
      </x:c>
      <x:c r="P142" s="81" t="str">
        <x:v>Location romantique pour deux à Hyères</x:v>
      </x:c>
      <x:c r="Q142" s="81" t="str">
        <x:v>SERP Google + intentions touristiques, estimation à valider dans Keyword Planner</x:v>
      </x:c>
      <x:c r="R142" s="84" t="str">
        <x:v>Moyenne</x:v>
      </x:c>
    </x:row>
    <x:row r="143">
      <x:c r="A143" s="80" t="str">
        <x:v>week-end amoureux Hyères logement</x:v>
      </x:c>
      <x:c r="B143" s="81" t="str">
        <x:v>Hébergement &amp; réservation</x:v>
      </x:c>
      <x:c r="C143" s="81" t="str">
        <x:v>Transactionnel</x:v>
      </x:c>
      <x:c r="D143" s="81" t="str">
        <x:v>Décision</x:v>
      </x:c>
      <x:c r="E143" s="82" t="n">
        <x:v>20</x:v>
      </x:c>
      <x:c r="F143" s="82" t="n">
        <x:v>100</x:v>
      </x:c>
      <x:c r="G143" s="81" t="str">
        <x:v>Longue traîne</x:v>
      </x:c>
      <x:c r="H143" s="81" t="str">
        <x:v>Toute l'année</x:v>
      </x:c>
      <x:c r="I143" s="83" t="n">
        <x:v>52</x:v>
      </x:c>
      <x:c r="J143" s="83" t="n">
        <x:v>78</x:v>
      </x:c>
      <x:c r="K143" s="81" t="str">
        <x:v>Très forte</x:v>
      </x:c>
      <x:c r="L143" s="81" t="str">
        <x:v>Forte</x:v>
      </x:c>
      <x:c r="M143" s="83" t="n">
        <x:v>5</x:v>
      </x:c>
      <x:c r="N143" s="83" t="n">
        <x:v>5</x:v>
      </x:c>
      <x:c r="O143" s="83" t="n">
        <x:f>ROUND((MIN(5,LN((E143+F143)/2+1)/2.3)*20)*0.25+(N143*20)*0.30+(M143*20)*0.25+((100-(I143+J143)/2))*0.20,0)</x:f>
        <x:v>71</x:v>
      </x:c>
      <x:c r="P143" s="81" t="str">
        <x:v>Séjour en amoureux à Hyères</x:v>
      </x:c>
      <x:c r="Q143" s="81" t="str">
        <x:v>SERP Google + intentions touristiques, estimation à valider dans Keyword Planner</x:v>
      </x:c>
      <x:c r="R143" s="84" t="str">
        <x:v>Moyenne</x:v>
      </x:c>
    </x:row>
    <x:row r="144">
      <x:c r="A144" s="80" t="str">
        <x:v>location Hyères parking</x:v>
      </x:c>
      <x:c r="B144" s="81" t="str">
        <x:v>Hébergement &amp; réservation</x:v>
      </x:c>
      <x:c r="C144" s="81" t="str">
        <x:v>Transactionnel</x:v>
      </x:c>
      <x:c r="D144" s="81" t="str">
        <x:v>Décision</x:v>
      </x:c>
      <x:c r="E144" s="82" t="n">
        <x:v>50</x:v>
      </x:c>
      <x:c r="F144" s="82" t="n">
        <x:v>200</x:v>
      </x:c>
      <x:c r="G144" s="81" t="str">
        <x:v>Longue traîne</x:v>
      </x:c>
      <x:c r="H144" s="81" t="str">
        <x:v>Toute l'année</x:v>
      </x:c>
      <x:c r="I144" s="83" t="n">
        <x:v>52</x:v>
      </x:c>
      <x:c r="J144" s="83" t="n">
        <x:v>78</x:v>
      </x:c>
      <x:c r="K144" s="81" t="str">
        <x:v>Très forte</x:v>
      </x:c>
      <x:c r="L144" s="81" t="str">
        <x:v>Forte</x:v>
      </x:c>
      <x:c r="M144" s="83" t="n">
        <x:v>5</x:v>
      </x:c>
      <x:c r="N144" s="83" t="n">
        <x:v>5</x:v>
      </x:c>
      <x:c r="O144" s="83" t="n">
        <x:f>ROUND((MIN(5,LN((E144+F144)/2+1)/2.3)*20)*0.25+(N144*20)*0.30+(M144*20)*0.25+((100-(I144+J144)/2))*0.20,0)</x:f>
        <x:v>73</x:v>
      </x:c>
      <x:c r="P144" s="81" t="str">
        <x:v>Location à Hyères avec parking</x:v>
      </x:c>
      <x:c r="Q144" s="81" t="str">
        <x:v>SERP Google + intentions touristiques, estimation à valider dans Keyword Planner</x:v>
      </x:c>
      <x:c r="R144" s="84" t="str">
        <x:v>Moyenne</x:v>
      </x:c>
    </x:row>
    <x:row r="145">
      <x:c r="A145" s="80" t="str">
        <x:v>location Hyères calme</x:v>
      </x:c>
      <x:c r="B145" s="81" t="str">
        <x:v>Hébergement &amp; réservation</x:v>
      </x:c>
      <x:c r="C145" s="81" t="str">
        <x:v>Transactionnel</x:v>
      </x:c>
      <x:c r="D145" s="81" t="str">
        <x:v>Décision</x:v>
      </x:c>
      <x:c r="E145" s="82" t="n">
        <x:v>50</x:v>
      </x:c>
      <x:c r="F145" s="82" t="n">
        <x:v>200</x:v>
      </x:c>
      <x:c r="G145" s="81" t="str">
        <x:v>Longue traîne</x:v>
      </x:c>
      <x:c r="H145" s="81" t="str">
        <x:v>Toute l'année</x:v>
      </x:c>
      <x:c r="I145" s="83" t="n">
        <x:v>52</x:v>
      </x:c>
      <x:c r="J145" s="83" t="n">
        <x:v>78</x:v>
      </x:c>
      <x:c r="K145" s="81" t="str">
        <x:v>Très forte</x:v>
      </x:c>
      <x:c r="L145" s="81" t="str">
        <x:v>Forte</x:v>
      </x:c>
      <x:c r="M145" s="83" t="n">
        <x:v>5</x:v>
      </x:c>
      <x:c r="N145" s="83" t="n">
        <x:v>5</x:v>
      </x:c>
      <x:c r="O145" s="83" t="n">
        <x:f>ROUND((MIN(5,LN((E145+F145)/2+1)/2.3)*20)*0.25+(N145*20)*0.30+(M145*20)*0.25+((100-(I145+J145)/2))*0.20,0)</x:f>
        <x:v>73</x:v>
      </x:c>
      <x:c r="P145" s="81" t="str">
        <x:v>Location au calme à Hyères</x:v>
      </x:c>
      <x:c r="Q145" s="81" t="str">
        <x:v>SERP Google + intentions touristiques, estimation à valider dans Keyword Planner</x:v>
      </x:c>
      <x:c r="R145" s="84" t="str">
        <x:v>Moyenne</x:v>
      </x:c>
    </x:row>
    <x:row r="146">
      <x:c r="A146" s="80" t="str">
        <x:v>location Hyères particulier</x:v>
      </x:c>
      <x:c r="B146" s="81" t="str">
        <x:v>Hébergement &amp; réservation</x:v>
      </x:c>
      <x:c r="C146" s="81" t="str">
        <x:v>Transactionnel</x:v>
      </x:c>
      <x:c r="D146" s="81" t="str">
        <x:v>Décision</x:v>
      </x:c>
      <x:c r="E146" s="82" t="n">
        <x:v>500</x:v>
      </x:c>
      <x:c r="F146" s="82" t="n">
        <x:v>2000</x:v>
      </x:c>
      <x:c r="G146" s="81" t="str">
        <x:v>Moyen</x:v>
      </x:c>
      <x:c r="H146" s="81" t="str">
        <x:v>Toute l'année</x:v>
      </x:c>
      <x:c r="I146" s="83" t="n">
        <x:v>52</x:v>
      </x:c>
      <x:c r="J146" s="83" t="n">
        <x:v>78</x:v>
      </x:c>
      <x:c r="K146" s="81" t="str">
        <x:v>Très forte</x:v>
      </x:c>
      <x:c r="L146" s="81" t="str">
        <x:v>Forte</x:v>
      </x:c>
      <x:c r="M146" s="83" t="n">
        <x:v>5</x:v>
      </x:c>
      <x:c r="N146" s="83" t="n">
        <x:v>5</x:v>
      </x:c>
      <x:c r="O146" s="83" t="n">
        <x:f>ROUND((MIN(5,LN((E146+F146)/2+1)/2.3)*20)*0.25+(N146*20)*0.30+(M146*20)*0.25+((100-(I146+J146)/2))*0.20,0)</x:f>
        <x:v>78</x:v>
      </x:c>
      <x:c r="P146" s="81" t="str">
        <x:v>Réserver une location en direct à Hyères</x:v>
      </x:c>
      <x:c r="Q146" s="81" t="str">
        <x:v>SERP Google + intentions touristiques, estimation à valider dans Keyword Planner</x:v>
      </x:c>
      <x:c r="R146" s="84" t="str">
        <x:v>Moyenne</x:v>
      </x:c>
    </x:row>
    <x:row r="147">
      <x:c r="A147" s="80" t="str">
        <x:v>location Hyères pas cher</x:v>
      </x:c>
      <x:c r="B147" s="81" t="str">
        <x:v>Hébergement &amp; réservation</x:v>
      </x:c>
      <x:c r="C147" s="81" t="str">
        <x:v>Transactionnel</x:v>
      </x:c>
      <x:c r="D147" s="81" t="str">
        <x:v>Décision</x:v>
      </x:c>
      <x:c r="E147" s="82" t="n">
        <x:v>1000</x:v>
      </x:c>
      <x:c r="F147" s="82" t="n">
        <x:v>5000</x:v>
      </x:c>
      <x:c r="G147" s="81" t="str">
        <x:v>Élevé</x:v>
      </x:c>
      <x:c r="H147" s="81" t="str">
        <x:v>Toute l'année</x:v>
      </x:c>
      <x:c r="I147" s="83" t="n">
        <x:v>52</x:v>
      </x:c>
      <x:c r="J147" s="83" t="n">
        <x:v>78</x:v>
      </x:c>
      <x:c r="K147" s="81" t="str">
        <x:v>Très forte</x:v>
      </x:c>
      <x:c r="L147" s="81" t="str">
        <x:v>Forte</x:v>
      </x:c>
      <x:c r="M147" s="83" t="n">
        <x:v>5</x:v>
      </x:c>
      <x:c r="N147" s="83" t="n">
        <x:v>5</x:v>
      </x:c>
      <x:c r="O147" s="83" t="n">
        <x:f>ROUND((MIN(5,LN((E147+F147)/2+1)/2.3)*20)*0.25+(N147*20)*0.30+(M147*20)*0.25+((100-(I147+J147)/2))*0.20,0)</x:f>
        <x:v>79</x:v>
      </x:c>
      <x:c r="P147" s="81" t="str">
        <x:v>Location à Hyères : comprendre les prix</x:v>
      </x:c>
      <x:c r="Q147" s="81" t="str">
        <x:v>SERP Google + intentions touristiques, estimation à valider dans Keyword Planner</x:v>
      </x:c>
      <x:c r="R147" s="84" t="str">
        <x:v>Moyenne</x:v>
      </x:c>
    </x:row>
    <x:row r="148">
      <x:c r="A148" s="80" t="str">
        <x:v>hébergement Hyères</x:v>
      </x:c>
      <x:c r="B148" s="81" t="str">
        <x:v>Hébergement &amp; réservation</x:v>
      </x:c>
      <x:c r="C148" s="81" t="str">
        <x:v>Transactionnel</x:v>
      </x:c>
      <x:c r="D148" s="81" t="str">
        <x:v>Décision</x:v>
      </x:c>
      <x:c r="E148" s="82" t="n">
        <x:v>1000</x:v>
      </x:c>
      <x:c r="F148" s="82" t="n">
        <x:v>5000</x:v>
      </x:c>
      <x:c r="G148" s="81" t="str">
        <x:v>Élevé</x:v>
      </x:c>
      <x:c r="H148" s="81" t="str">
        <x:v>Toute l'année</x:v>
      </x:c>
      <x:c r="I148" s="83" t="n">
        <x:v>52</x:v>
      </x:c>
      <x:c r="J148" s="83" t="n">
        <x:v>78</x:v>
      </x:c>
      <x:c r="K148" s="81" t="str">
        <x:v>Très forte</x:v>
      </x:c>
      <x:c r="L148" s="81" t="str">
        <x:v>Forte</x:v>
      </x:c>
      <x:c r="M148" s="83" t="n">
        <x:v>5</x:v>
      </x:c>
      <x:c r="N148" s="83" t="n">
        <x:v>5</x:v>
      </x:c>
      <x:c r="O148" s="83" t="n">
        <x:f>ROUND((MIN(5,LN((E148+F148)/2+1)/2.3)*20)*0.25+(N148*20)*0.30+(M148*20)*0.25+((100-(I148+J148)/2))*0.20,0)</x:f>
        <x:v>79</x:v>
      </x:c>
      <x:c r="P148" s="81" t="str">
        <x:v>Où dormir à Hyères ?</x:v>
      </x:c>
      <x:c r="Q148" s="81" t="str">
        <x:v>SERP Google + intentions touristiques, estimation à valider dans Keyword Planner</x:v>
      </x:c>
      <x:c r="R148" s="84" t="str">
        <x:v>Moyenne</x:v>
      </x:c>
    </x:row>
    <x:row r="149">
      <x:c r="A149" s="80" t="str">
        <x:v>où dormir à Hyères</x:v>
      </x:c>
      <x:c r="B149" s="81" t="str">
        <x:v>Hébergement &amp; réservation</x:v>
      </x:c>
      <x:c r="C149" s="81" t="str">
        <x:v>Transactionnel</x:v>
      </x:c>
      <x:c r="D149" s="81" t="str">
        <x:v>Décision</x:v>
      </x:c>
      <x:c r="E149" s="82" t="n">
        <x:v>500</x:v>
      </x:c>
      <x:c r="F149" s="82" t="n">
        <x:v>2000</x:v>
      </x:c>
      <x:c r="G149" s="81" t="str">
        <x:v>Moyen</x:v>
      </x:c>
      <x:c r="H149" s="81" t="str">
        <x:v>Toute l'année</x:v>
      </x:c>
      <x:c r="I149" s="83" t="n">
        <x:v>52</x:v>
      </x:c>
      <x:c r="J149" s="83" t="n">
        <x:v>78</x:v>
      </x:c>
      <x:c r="K149" s="81" t="str">
        <x:v>Très forte</x:v>
      </x:c>
      <x:c r="L149" s="81" t="str">
        <x:v>Forte</x:v>
      </x:c>
      <x:c r="M149" s="83" t="n">
        <x:v>5</x:v>
      </x:c>
      <x:c r="N149" s="83" t="n">
        <x:v>5</x:v>
      </x:c>
      <x:c r="O149" s="83" t="n">
        <x:f>ROUND((MIN(5,LN((E149+F149)/2+1)/2.3)*20)*0.25+(N149*20)*0.30+(M149*20)*0.25+((100-(I149+J149)/2))*0.20,0)</x:f>
        <x:v>78</x:v>
      </x:c>
      <x:c r="P149" s="81" t="str">
        <x:v>Où dormir à Hyères selon le type de séjour</x:v>
      </x:c>
      <x:c r="Q149" s="81" t="str">
        <x:v>SERP Google + intentions touristiques, estimation à valider dans Keyword Planner</x:v>
      </x:c>
      <x:c r="R149" s="84" t="str">
        <x:v>Moyenne</x:v>
      </x:c>
    </x:row>
    <x:row r="150">
      <x:c r="A150" s="80" t="str">
        <x:v>Airbnb Hyères</x:v>
      </x:c>
      <x:c r="B150" s="81" t="str">
        <x:v>Hébergement &amp; réservation</x:v>
      </x:c>
      <x:c r="C150" s="81" t="str">
        <x:v>Transactionnel</x:v>
      </x:c>
      <x:c r="D150" s="81" t="str">
        <x:v>Décision</x:v>
      </x:c>
      <x:c r="E150" s="82" t="n">
        <x:v>5000</x:v>
      </x:c>
      <x:c r="F150" s="82" t="n">
        <x:v>20000</x:v>
      </x:c>
      <x:c r="G150" s="81" t="str">
        <x:v>Très élevé</x:v>
      </x:c>
      <x:c r="H150" s="81" t="str">
        <x:v>Toute l'année</x:v>
      </x:c>
      <x:c r="I150" s="83" t="n">
        <x:v>52</x:v>
      </x:c>
      <x:c r="J150" s="83" t="n">
        <x:v>78</x:v>
      </x:c>
      <x:c r="K150" s="81" t="str">
        <x:v>Très forte</x:v>
      </x:c>
      <x:c r="L150" s="81" t="str">
        <x:v>Forte</x:v>
      </x:c>
      <x:c r="M150" s="83" t="n">
        <x:v>5</x:v>
      </x:c>
      <x:c r="N150" s="83" t="n">
        <x:v>5</x:v>
      </x:c>
      <x:c r="O150" s="83" t="n">
        <x:f>ROUND((MIN(5,LN((E150+F150)/2+1)/2.3)*20)*0.25+(N150*20)*0.30+(M150*20)*0.25+((100-(I150+J150)/2))*0.20,0)</x:f>
        <x:v>83</x:v>
      </x:c>
      <x:c r="P150" s="81" t="str">
        <x:v>Airbnb ou réservation directe à Hyères ?</x:v>
      </x:c>
      <x:c r="Q150" s="81" t="str">
        <x:v>SERP Google + intentions touristiques, estimation à valider dans Keyword Planner</x:v>
      </x:c>
      <x:c r="R150" s="84" t="str">
        <x:v>Moyenne</x:v>
      </x:c>
    </x:row>
    <x:row r="151">
      <x:c r="A151" s="80" t="str">
        <x:v>Booking Hyères</x:v>
      </x:c>
      <x:c r="B151" s="81" t="str">
        <x:v>Hébergement &amp; réservation</x:v>
      </x:c>
      <x:c r="C151" s="81" t="str">
        <x:v>Transactionnel</x:v>
      </x:c>
      <x:c r="D151" s="81" t="str">
        <x:v>Décision</x:v>
      </x:c>
      <x:c r="E151" s="82" t="n">
        <x:v>1000</x:v>
      </x:c>
      <x:c r="F151" s="82" t="n">
        <x:v>5000</x:v>
      </x:c>
      <x:c r="G151" s="81" t="str">
        <x:v>Élevé</x:v>
      </x:c>
      <x:c r="H151" s="81" t="str">
        <x:v>Toute l'année</x:v>
      </x:c>
      <x:c r="I151" s="83" t="n">
        <x:v>52</x:v>
      </x:c>
      <x:c r="J151" s="83" t="n">
        <x:v>78</x:v>
      </x:c>
      <x:c r="K151" s="81" t="str">
        <x:v>Très forte</x:v>
      </x:c>
      <x:c r="L151" s="81" t="str">
        <x:v>Forte</x:v>
      </x:c>
      <x:c r="M151" s="83" t="n">
        <x:v>5</x:v>
      </x:c>
      <x:c r="N151" s="83" t="n">
        <x:v>5</x:v>
      </x:c>
      <x:c r="O151" s="83" t="n">
        <x:f>ROUND((MIN(5,LN((E151+F151)/2+1)/2.3)*20)*0.25+(N151*20)*0.30+(M151*20)*0.25+((100-(I151+J151)/2))*0.20,0)</x:f>
        <x:v>79</x:v>
      </x:c>
      <x:c r="P151" s="81" t="str">
        <x:v>Où réserver son séjour à Hyères ?</x:v>
      </x:c>
      <x:c r="Q151" s="81" t="str">
        <x:v>SERP Google + intentions touristiques, estimation à valider dans Keyword Planner</x:v>
      </x:c>
      <x:c r="R151" s="84" t="str">
        <x:v>Moyenne</x:v>
      </x:c>
    </x:row>
    <x:row r="152">
      <x:c r="A152" s="80" t="str">
        <x:v>hôtel Hyères</x:v>
      </x:c>
      <x:c r="B152" s="81" t="str">
        <x:v>Hébergement &amp; réservation</x:v>
      </x:c>
      <x:c r="C152" s="81" t="str">
        <x:v>Transactionnel</x:v>
      </x:c>
      <x:c r="D152" s="81" t="str">
        <x:v>Décision</x:v>
      </x:c>
      <x:c r="E152" s="82" t="n">
        <x:v>5000</x:v>
      </x:c>
      <x:c r="F152" s="82" t="n">
        <x:v>20000</x:v>
      </x:c>
      <x:c r="G152" s="81" t="str">
        <x:v>Très élevé</x:v>
      </x:c>
      <x:c r="H152" s="81" t="str">
        <x:v>Toute l'année</x:v>
      </x:c>
      <x:c r="I152" s="83" t="n">
        <x:v>52</x:v>
      </x:c>
      <x:c r="J152" s="83" t="n">
        <x:v>78</x:v>
      </x:c>
      <x:c r="K152" s="81" t="str">
        <x:v>Très forte</x:v>
      </x:c>
      <x:c r="L152" s="81" t="str">
        <x:v>Forte</x:v>
      </x:c>
      <x:c r="M152" s="83" t="n">
        <x:v>5</x:v>
      </x:c>
      <x:c r="N152" s="83" t="n">
        <x:v>5</x:v>
      </x:c>
      <x:c r="O152" s="83" t="n">
        <x:f>ROUND((MIN(5,LN((E152+F152)/2+1)/2.3)*20)*0.25+(N152*20)*0.30+(M152*20)*0.25+((100-(I152+J152)/2))*0.20,0)</x:f>
        <x:v>83</x:v>
      </x:c>
      <x:c r="P152" s="81" t="str">
        <x:v>Hôtel ou appartement à Hyères ?</x:v>
      </x:c>
      <x:c r="Q152" s="81" t="str">
        <x:v>SERP Google + intentions touristiques, estimation à valider dans Keyword Planner</x:v>
      </x:c>
      <x:c r="R152" s="84" t="str">
        <x:v>Moyenne</x:v>
      </x:c>
    </x:row>
    <x:row r="153">
      <x:c r="A153" s="85" t="str">
        <x:v>location week-end Hyères</x:v>
      </x:c>
      <x:c r="B153" s="86" t="str">
        <x:v>Hébergement &amp; réservation</x:v>
      </x:c>
      <x:c r="C153" s="86" t="str">
        <x:v>Transactionnel</x:v>
      </x:c>
      <x:c r="D153" s="86" t="str">
        <x:v>Décision</x:v>
      </x:c>
      <x:c r="E153" s="87" t="n">
        <x:v>100</x:v>
      </x:c>
      <x:c r="F153" s="87" t="n">
        <x:v>500</x:v>
      </x:c>
      <x:c r="G153" s="86" t="str">
        <x:v>Faible à moyen</x:v>
      </x:c>
      <x:c r="H153" s="86" t="str">
        <x:v>Toute l'année</x:v>
      </x:c>
      <x:c r="I153" s="88" t="n">
        <x:v>52</x:v>
      </x:c>
      <x:c r="J153" s="88" t="n">
        <x:v>78</x:v>
      </x:c>
      <x:c r="K153" s="86" t="str">
        <x:v>Très forte</x:v>
      </x:c>
      <x:c r="L153" s="86" t="str">
        <x:v>Forte</x:v>
      </x:c>
      <x:c r="M153" s="88" t="n">
        <x:v>5</x:v>
      </x:c>
      <x:c r="N153" s="88" t="n">
        <x:v>5</x:v>
      </x:c>
      <x:c r="O153" s="88" t="n">
        <x:f>ROUND((MIN(5,LN((E153+F153)/2+1)/2.3)*20)*0.25+(N153*20)*0.30+(M153*20)*0.25+((100-(I153+J153)/2))*0.20,0)</x:f>
        <x:v>74</x:v>
      </x:c>
      <x:c r="P153" s="86" t="str">
        <x:v>Location pour un week-end à Hyères</x:v>
      </x:c>
      <x:c r="Q153" s="86" t="str">
        <x:v>SERP Google + intentions touristiques, estimation à valider dans Keyword Planner</x:v>
      </x:c>
      <x:c r="R153" s="89" t="str">
        <x:v>Moyenne</x:v>
      </x:c>
    </x:row>
  </x:sheetData>
  <x:conditionalFormatting sqref="O2:O153">
    <x:cfRule type="colorScale" priority="1">
      <x:colorScale>
        <x:cfvo type="min"/>
        <x:cfvo type="percentile" val="50"/>
        <x:cfvo type="max"/>
        <x:color rgb="FFF7D9D9"/>
        <x:color rgb="FFF8E9B0"/>
        <x:color rgb="FFCDEBD8"/>
      </x:colorScale>
    </x:cfRule>
  </x:conditionalFormatting>
  <x:pageMargins left="0.7" right="0.7" top="0.75" bottom="0.75" header="0.3" footer="0.3"/>
  <x:tableParts count="1">
    <x:tablePart xmlns:r="http://schemas.openxmlformats.org/officeDocument/2006/relationships" r:id="R6e1e9713df5b4d89"/>
  </x:tableParts>
</x:worksheet>
</file>

<file path=xl/worksheets/sheet3.xml><?xml version="1.0" encoding="utf-8"?>
<x:worksheet xmlns:x="http://schemas.openxmlformats.org/spreadsheetml/2006/main">
  <x:sheetFormatPr defaultRowHeight="15"/>
  <x:cols>
    <x:col min="1" max="1" width="10" hidden="0" customWidth="1"/>
    <x:col min="2" max="2" width="42" hidden="0" customWidth="1"/>
    <x:col min="3" max="3" width="24" hidden="0" customWidth="1"/>
    <x:col min="4" max="4" width="24" hidden="0" customWidth="1"/>
    <x:col min="5" max="5" width="24" hidden="0" customWidth="1"/>
    <x:col min="6" max="6" width="24" hidden="0" customWidth="1"/>
    <x:col min="7" max="7" width="40" hidden="0" customWidth="1"/>
  </x:cols>
  <x:sheetData>
    <x:row r="1">
      <x:c r="A1" s="94" t="str">
        <x:v>Priorité</x:v>
      </x:c>
      <x:c r="B1" s="94" t="str">
        <x:v>Titre recommandé</x:v>
      </x:c>
      <x:c r="C1" s="94" t="str">
        <x:v>Mot-clé principal</x:v>
      </x:c>
      <x:c r="D1" s="94" t="str">
        <x:v>Format</x:v>
      </x:c>
      <x:c r="E1" s="94" t="str">
        <x:v>Cluster</x:v>
      </x:c>
      <x:c r="F1" s="94" t="str">
        <x:v>Slug</x:v>
      </x:c>
      <x:c r="G1" s="94" t="str">
        <x:v>Maillage / CTA</x:v>
      </x:c>
    </x:row>
    <x:row r="2">
      <x:c r="A2" s="95" t="str">
        <x:v>P1</x:v>
      </x:c>
      <x:c r="B2" s="96" t="str">
        <x:v>Que faire à Hyères ? Le guide complet</x:v>
      </x:c>
      <x:c r="C2" s="96" t="str">
        <x:v>que faire à Hyères</x:v>
      </x:c>
      <x:c r="D2" s="96" t="str">
        <x:v>Pilier</x:v>
      </x:c>
      <x:c r="E2" s="96" t="str">
        <x:v>Découvrir Hyères</x:v>
      </x:c>
      <x:c r="F2" s="96" t="str">
        <x:v>/guide/que-faire-hyeres</x:v>
      </x:c>
      <x:c r="G2" s="97" t="str">
        <x:v>Liens vers plages, Giens, vieille ville, restaurants, logement</x:v>
      </x:c>
    </x:row>
    <x:row r="3">
      <x:c r="A3" s="80" t="str">
        <x:v>P1</x:v>
      </x:c>
      <x:c r="B3" s="81" t="str">
        <x:v>Porquerolles en une journée : itinéraire, bateau, vélo et plages</x:v>
      </x:c>
      <x:c r="C3" s="81" t="str">
        <x:v>que faire à Porquerolles</x:v>
      </x:c>
      <x:c r="D3" s="81" t="str">
        <x:v>Pilier</x:v>
      </x:c>
      <x:c r="E3" s="81" t="str">
        <x:v>Porquerolles</x:v>
      </x:c>
      <x:c r="F3" s="81" t="str">
        <x:v>/guide/porquerolles-une-journee</x:v>
      </x:c>
      <x:c r="G3" s="84" t="str">
        <x:v>Vers bateau, plages, vélo, Nid d'Or</x:v>
      </x:c>
    </x:row>
    <x:row r="4">
      <x:c r="A4" s="80" t="str">
        <x:v>P1</x:v>
      </x:c>
      <x:c r="B4" s="81" t="str">
        <x:v>Les plus belles plages de Hyères : carte et choix selon le vent</x:v>
      </x:c>
      <x:c r="C4" s="81" t="str">
        <x:v>plage Hyères</x:v>
      </x:c>
      <x:c r="D4" s="81" t="str">
        <x:v>Pilier</x:v>
      </x:c>
      <x:c r="E4" s="81" t="str">
        <x:v>Plages &amp; criques</x:v>
      </x:c>
      <x:c r="F4" s="81" t="str">
        <x:v>/guide/plages-hyeres</x:v>
      </x:c>
      <x:c r="G4" s="84" t="str">
        <x:v>Vers chaque plage et logement vue mer</x:v>
      </x:c>
    </x:row>
    <x:row r="5">
      <x:c r="A5" s="80" t="str">
        <x:v>P1</x:v>
      </x:c>
      <x:c r="B5" s="81" t="str">
        <x:v>Sentier du littoral de Giens : parcours, durée et difficulté</x:v>
      </x:c>
      <x:c r="C5" s="81" t="str">
        <x:v>sentier du littoral Giens</x:v>
      </x:c>
      <x:c r="D5" s="81" t="str">
        <x:v>Pilier</x:v>
      </x:c>
      <x:c r="E5" s="81" t="str">
        <x:v>Giens &amp; sentier littoral</x:v>
      </x:c>
      <x:c r="F5" s="81" t="str">
        <x:v>/guide/sentier-littoral-giens</x:v>
      </x:c>
      <x:c r="G5" s="84" t="str">
        <x:v>Vers criques, randonnées, séjour couple</x:v>
      </x:c>
    </x:row>
    <x:row r="6">
      <x:c r="A6" s="80" t="str">
        <x:v>P1</x:v>
      </x:c>
      <x:c r="B6" s="81" t="str">
        <x:v>Où dormir à Hyères pour un séjour en couple ?</x:v>
      </x:c>
      <x:c r="C6" s="81" t="str">
        <x:v>où dormir à Hyères</x:v>
      </x:c>
      <x:c r="D6" s="81" t="str">
        <x:v>Commercial</x:v>
      </x:c>
      <x:c r="E6" s="81" t="str">
        <x:v>Hébergement &amp; réservation</x:v>
      </x:c>
      <x:c r="F6" s="81" t="str">
        <x:v>/sejour/ou-dormir-hyeres-couple</x:v>
      </x:c>
      <x:c r="G6" s="84" t="str">
        <x:v>Vers page réservation directe</x:v>
      </x:c>
    </x:row>
    <x:row r="7">
      <x:c r="A7" s="80" t="str">
        <x:v>P1</x:v>
      </x:c>
      <x:c r="B7" s="81" t="str">
        <x:v>Location à Hyères avec vue mer, piscine et parking</x:v>
      </x:c>
      <x:c r="C7" s="81" t="str">
        <x:v>location Hyères vue mer</x:v>
      </x:c>
      <x:c r="D7" s="81" t="str">
        <x:v>Commercial</x:v>
      </x:c>
      <x:c r="E7" s="81" t="str">
        <x:v>Hébergement &amp; réservation</x:v>
      </x:c>
      <x:c r="F7" s="81" t="str">
        <x:v>/location-hyeres-vue-mer-piscine</x:v>
      </x:c>
      <x:c r="G7" s="84" t="str">
        <x:v>Page directe Nid d'Or</x:v>
      </x:c>
    </x:row>
    <x:row r="8">
      <x:c r="A8" s="80" t="str">
        <x:v>P2</x:v>
      </x:c>
      <x:c r="B8" s="81" t="str">
        <x:v>Week-end en amoureux à Hyères : programme de 48 h</x:v>
      </x:c>
      <x:c r="C8" s="81" t="str">
        <x:v>week-end Hyères</x:v>
      </x:c>
      <x:c r="D8" s="81" t="str">
        <x:v>Conversion assistée</x:v>
      </x:c>
      <x:c r="E8" s="81" t="str">
        <x:v>Découvrir Hyères</x:v>
      </x:c>
      <x:c r="F8" s="81" t="str">
        <x:v>/guide/week-end-amoureux-hyeres</x:v>
      </x:c>
      <x:c r="G8" s="84" t="str">
        <x:v>Vers restaurants, plages, logement</x:v>
      </x:c>
    </x:row>
    <x:row r="9">
      <x:c r="A9" s="80" t="str">
        <x:v>P2</x:v>
      </x:c>
      <x:c r="B9" s="81" t="str">
        <x:v>Les meilleurs restaurants romantiques à Hyères</x:v>
      </x:c>
      <x:c r="C9" s="81" t="str">
        <x:v>restaurant romantique Hyères</x:v>
      </x:c>
      <x:c r="D9" s="81" t="str">
        <x:v>Sélection</x:v>
      </x:c>
      <x:c r="E9" s="81" t="str">
        <x:v>Restaurants &amp; sorties</x:v>
      </x:c>
      <x:c r="F9" s="81" t="str">
        <x:v>/guide/restaurants-romantiques-hyeres</x:v>
      </x:c>
      <x:c r="G9" s="84" t="str">
        <x:v>Vers week-end couple et logement</x:v>
      </x:c>
    </x:row>
    <x:row r="10">
      <x:c r="A10" s="80" t="str">
        <x:v>P2</x:v>
      </x:c>
      <x:c r="B10" s="81" t="str">
        <x:v>Hyères sans voiture : gare, bus, plages et îles</x:v>
      </x:c>
      <x:c r="C10" s="81" t="str">
        <x:v>Hyères sans voiture</x:v>
      </x:c>
      <x:c r="D10" s="81" t="str">
        <x:v>Pratique</x:v>
      </x:c>
      <x:c r="E10" s="81" t="str">
        <x:v>Météo &amp; pratique</x:v>
      </x:c>
      <x:c r="F10" s="81" t="str">
        <x:v>/guide/hyeres-sans-voiture</x:v>
      </x:c>
      <x:c r="G10" s="84" t="str">
        <x:v>Vers logement + itinéraires</x:v>
      </x:c>
    </x:row>
    <x:row r="11">
      <x:c r="A11" s="80" t="str">
        <x:v>P2</x:v>
      </x:c>
      <x:c r="B11" s="81" t="str">
        <x:v>Les plus belles randonnées autour de Hyères</x:v>
      </x:c>
      <x:c r="C11" s="81" t="str">
        <x:v>randonnée Hyères</x:v>
      </x:c>
      <x:c r="D11" s="81" t="str">
        <x:v>Pilier</x:v>
      </x:c>
      <x:c r="E11" s="81" t="str">
        <x:v>Randonnées &amp; nature</x:v>
      </x:c>
      <x:c r="F11" s="81" t="str">
        <x:v>/guide/randonnees-hyeres</x:v>
      </x:c>
      <x:c r="G11" s="84" t="str">
        <x:v>Vers Giens, Porquerolles, Port-Cros</x:v>
      </x:c>
    </x:row>
    <x:row r="12">
      <x:c r="A12" s="80" t="str">
        <x:v>P2</x:v>
      </x:c>
      <x:c r="B12" s="81" t="str">
        <x:v>Bateau pour Porquerolles : départs, billets et parkings</x:v>
      </x:c>
      <x:c r="C12" s="81" t="str">
        <x:v>bateau Porquerolles</x:v>
      </x:c>
      <x:c r="D12" s="81" t="str">
        <x:v>Pratique</x:v>
      </x:c>
      <x:c r="E12" s="81" t="str">
        <x:v>Porquerolles</x:v>
      </x:c>
      <x:c r="F12" s="81" t="str">
        <x:v>/guide/bateau-porquerolles</x:v>
      </x:c>
      <x:c r="G12" s="84" t="str">
        <x:v>Vers guide Porquerolles + logement</x:v>
      </x:c>
    </x:row>
    <x:row r="13">
      <x:c r="A13" s="80" t="str">
        <x:v>P2</x:v>
      </x:c>
      <x:c r="B13" s="81" t="str">
        <x:v>Que faire à Hyères quand il pleut ?</x:v>
      </x:c>
      <x:c r="C13" s="81" t="str">
        <x:v>Hyères quand il pleut</x:v>
      </x:c>
      <x:c r="D13" s="81" t="str">
        <x:v>Pratique</x:v>
      </x:c>
      <x:c r="E13" s="81" t="str">
        <x:v>Découvrir Hyères</x:v>
      </x:c>
      <x:c r="F13" s="81" t="str">
        <x:v>/guide/hyeres-quand-il-pleut</x:v>
      </x:c>
      <x:c r="G13" s="84" t="str">
        <x:v>Vers vieille ville, musées, restaurants</x:v>
      </x:c>
    </x:row>
    <x:row r="14">
      <x:c r="A14" s="80" t="str">
        <x:v>P3</x:v>
      </x:c>
      <x:c r="B14" s="81" t="str">
        <x:v>Port-Cros ou Porquerolles : quelle île choisir ?</x:v>
      </x:c>
      <x:c r="C14" s="81" t="str">
        <x:v>Port-Cros ou Porquerolles</x:v>
      </x:c>
      <x:c r="D14" s="81" t="str">
        <x:v>Comparatif</x:v>
      </x:c>
      <x:c r="E14" s="81" t="str">
        <x:v>Port-Cros &amp; Levant</x:v>
      </x:c>
      <x:c r="F14" s="81" t="str">
        <x:v>/guide/port-cros-ou-porquerolles</x:v>
      </x:c>
      <x:c r="G14" s="84" t="str">
        <x:v>Vers guides des deux îles</x:v>
      </x:c>
    </x:row>
    <x:row r="15">
      <x:c r="A15" s="80" t="str">
        <x:v>P3</x:v>
      </x:c>
      <x:c r="B15" s="81" t="str">
        <x:v>Hyères en septembre : météo, baignade et calme</x:v>
      </x:c>
      <x:c r="C15" s="81" t="str">
        <x:v>Hyères en septembre</x:v>
      </x:c>
      <x:c r="D15" s="81" t="str">
        <x:v>Saisonnier</x:v>
      </x:c>
      <x:c r="E15" s="81" t="str">
        <x:v>Météo &amp; pratique</x:v>
      </x:c>
      <x:c r="F15" s="81" t="str">
        <x:v>/guide/hyeres-septembre</x:v>
      </x:c>
      <x:c r="G15" s="84" t="str">
        <x:v>Vers réservation hors saison</x:v>
      </x:c>
    </x:row>
    <x:row r="16">
      <x:c r="A16" s="85" t="str">
        <x:v>P3</x:v>
      </x:c>
      <x:c r="B16" s="86" t="str">
        <x:v>10 excursions à moins de 45 minutes de Hyères</x:v>
      </x:c>
      <x:c r="C16" s="86" t="str">
        <x:v>que faire autour de Hyères</x:v>
      </x:c>
      <x:c r="D16" s="86" t="str">
        <x:v>Pilier</x:v>
      </x:c>
      <x:c r="E16" s="86" t="str">
        <x:v>Autour de Hyères</x:v>
      </x:c>
      <x:c r="F16" s="86" t="str">
        <x:v>/guide/que-faire-autour-hyeres</x:v>
      </x:c>
      <x:c r="G16" s="89" t="str">
        <x:v>Vers Bormes, Londe, Toulon</x:v>
      </x:c>
    </x:row>
  </x:sheetData>
  <x:conditionalFormatting sqref="A2:A16">
    <x:cfRule type="containsText" dxfId="0" priority="1" operator="containsText" text="P1"/>
  </x:conditionalFormatting>
  <x:pageMargins left="0.7" right="0.7" top="0.75" bottom="0.75" header="0.3" footer="0.3"/>
  <x:tableParts count="1">
    <x:tablePart xmlns:r="http://schemas.openxmlformats.org/officeDocument/2006/relationships" r:id="Rc6ae5f838dda42c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94" t="str">
        <x:v>Méthodologie, limites et sources</x:v>
      </x:c>
      <x:c r="B1" s="94"/>
      <x:c r="C1" s="94"/>
      <x:c r="D1" s="94"/>
      <x:c r="E1" s="94"/>
      <x:c r="F1" s="94"/>
    </x:row>
    <x:row r="2">
      <x:c r="A2" s="94"/>
      <x:c r="B2" s="94"/>
      <x:c r="C2" s="94"/>
      <x:c r="D2" s="94"/>
      <x:c r="E2" s="94"/>
      <x:c r="F2" s="94"/>
    </x:row>
    <x:row r="3">
      <x:c r="A3" s="99"/>
      <x:c r="B3" s="99"/>
      <x:c r="C3" s="99"/>
      <x:c r="D3" s="99"/>
      <x:c r="E3" s="99"/>
      <x:c r="F3" s="99"/>
    </x:row>
    <x:row r="4">
      <x:c r="A4" s="62" t="str">
        <x:v>Élément</x:v>
      </x:c>
      <x:c r="B4" s="62" t="str">
        <x:v>Définition</x:v>
      </x:c>
      <x:c r="C4" s="99"/>
      <x:c r="D4" s="99"/>
      <x:c r="E4" s="99"/>
      <x:c r="F4" s="99"/>
    </x:row>
    <x:row r="5">
      <x:c r="A5" s="63" t="str">
        <x:v>Périmètre</x:v>
      </x:c>
      <x:c r="B5" s="61" t="str">
        <x:v>France, langue française, intention touristique liée à Hyères et ses alentours.</x:v>
      </x:c>
      <x:c r="C5" s="99"/>
      <x:c r="D5" s="99"/>
      <x:c r="E5" s="99"/>
      <x:c r="F5" s="99"/>
    </x:row>
    <x:row r="6">
      <x:c r="A6" s="63" t="str">
        <x:v>Volume</x:v>
      </x:c>
      <x:c r="B6" s="61" t="str">
        <x:v>Fourchette mensuelle moyenne estimative. Ce n'est pas une donnée Google Ads exportée.</x:v>
      </x:c>
      <x:c r="C6" s="99"/>
      <x:c r="D6" s="99"/>
      <x:c r="E6" s="99"/>
      <x:c r="F6" s="99"/>
    </x:row>
    <x:row r="7">
      <x:c r="A7" s="63" t="str">
        <x:v>KD</x:v>
      </x:c>
      <x:c r="B7" s="61" t="str">
        <x:v>Fourchette de difficulté SEO estimée sur 100 selon nature de la SERP, autorité des concurrents et largeur du sujet.</x:v>
      </x:c>
      <x:c r="C7" s="99"/>
      <x:c r="D7" s="99"/>
      <x:c r="E7" s="99"/>
      <x:c r="F7" s="99"/>
    </x:row>
    <x:row r="8">
      <x:c r="A8" s="63" t="str">
        <x:v>Concurrence SEO</x:v>
      </x:c>
      <x:c r="B8" s="61" t="str">
        <x:v>Force probable des pages déjà classées : offices de tourisme, médias, OTA, annuaires et sites spécialisés.</x:v>
      </x:c>
      <x:c r="C8" s="99"/>
      <x:c r="D8" s="99"/>
      <x:c r="E8" s="99"/>
      <x:c r="F8" s="99"/>
    </x:row>
    <x:row r="9">
      <x:c r="A9" s="63" t="str">
        <x:v>Concurrence Ads</x:v>
      </x:c>
      <x:c r="B9" s="61" t="str">
        <x:v>Probabilité d'annonceurs actifs. Forte surtout sur hébergement, location, hôtel et activités réservables.</x:v>
      </x:c>
      <x:c r="C9" s="99"/>
      <x:c r="D9" s="99"/>
      <x:c r="E9" s="99"/>
      <x:c r="F9" s="99"/>
    </x:row>
    <x:row r="10">
      <x:c r="A10" s="63" t="str">
        <x:v>Saisonnalité</x:v>
      </x:c>
      <x:c r="B10" s="61" t="str">
        <x:v>Période probable de pic ; une moyenne annuelle masque les pics printemps/été.</x:v>
      </x:c>
      <x:c r="C10" s="99"/>
      <x:c r="D10" s="99"/>
      <x:c r="E10" s="99"/>
      <x:c r="F10" s="99"/>
    </x:row>
    <x:row r="11">
      <x:c r="A11" s="63" t="str">
        <x:v>Score priorité</x:v>
      </x:c>
      <x:c r="B11" s="61" t="str">
        <x:v>25 % volume, 30 % adéquation Nid d'Or, 25 % conversion, 20 % facilité SEO.</x:v>
      </x:c>
      <x:c r="C11" s="99"/>
      <x:c r="D11" s="99"/>
      <x:c r="E11" s="99"/>
      <x:c r="F11" s="99"/>
    </x:row>
    <x:row r="12">
      <x:c r="A12" s="63" t="str">
        <x:v>Validation exacte</x:v>
      </x:c>
      <x:c r="B12" s="61" t="str">
        <x:v>Exporter Google Keyword Planner : France, français, Google, moyenne 12 mois et tendances mensuelles.</x:v>
      </x:c>
      <x:c r="C12" s="99"/>
      <x:c r="D12" s="99"/>
      <x:c r="E12" s="99"/>
      <x:c r="F12" s="99"/>
    </x:row>
    <x:row r="13">
      <x:c r="A13" s="63" t="str">
        <x:v>Important</x:v>
      </x:c>
      <x:c r="B13" s="61" t="str">
        <x:v>Ne pas additionner les variantes proches : Google regroupe souvent les volumes.</x:v>
      </x:c>
      <x:c r="C13" s="99"/>
      <x:c r="D13" s="99"/>
      <x:c r="E13" s="99"/>
      <x:c r="F13" s="99"/>
    </x:row>
    <x:row r="14">
      <x:c r="A14" s="99"/>
      <x:c r="B14" s="99"/>
      <x:c r="C14" s="99"/>
      <x:c r="D14" s="99"/>
      <x:c r="E14" s="99"/>
      <x:c r="F14" s="99"/>
    </x:row>
    <x:row r="15">
      <x:c r="A15" s="99"/>
      <x:c r="B15" s="99"/>
      <x:c r="C15" s="99"/>
      <x:c r="D15" s="99"/>
      <x:c r="E15" s="99"/>
      <x:c r="F15" s="99"/>
    </x:row>
    <x:row r="16">
      <x:c r="A16" s="62" t="str">
        <x:v>Source</x:v>
      </x:c>
      <x:c r="B16" s="62" t="str">
        <x:v>URL</x:v>
      </x:c>
      <x:c r="C16" s="99"/>
      <x:c r="D16" s="99"/>
      <x:c r="E16" s="99"/>
      <x:c r="F16" s="99"/>
    </x:row>
    <x:row r="17">
      <x:c r="A17" s="61" t="str">
        <x:v>Office de tourisme - Hyères et ses îles</x:v>
      </x:c>
      <x:c r="B17" s="61" t="str">
        <x:v>https://www.hyeres-tourisme.com/equipement-loisir/plage-notre-dame/</x:v>
      </x:c>
      <x:c r="C17" s="99"/>
      <x:c r="D17" s="99"/>
      <x:c r="E17" s="99"/>
      <x:c r="F17" s="99"/>
    </x:row>
    <x:row r="18">
      <x:c r="A18" s="61" t="str">
        <x:v>Office de tourisme - Porquerolles</x:v>
      </x:c>
      <x:c r="B18" s="61" t="str">
        <x:v>https://hyeres-tourisme.com/les-iles-dor/porquerolles</x:v>
      </x:c>
      <x:c r="C18" s="99"/>
      <x:c r="D18" s="99"/>
      <x:c r="E18" s="99"/>
      <x:c r="F18" s="99"/>
    </x:row>
    <x:row r="19">
      <x:c r="A19" s="61" t="str">
        <x:v>Office de tourisme - Presqu'île de Giens</x:v>
      </x:c>
      <x:c r="B19" s="61" t="str">
        <x:v>https://www.hyeres-tourisme.com/presquile-de-giens-2/</x:v>
      </x:c>
      <x:c r="C19" s="99"/>
      <x:c r="D19" s="99"/>
      <x:c r="E19" s="99"/>
      <x:c r="F19" s="99"/>
    </x:row>
    <x:row r="20">
      <x:c r="A20" s="61" t="str">
        <x:v>Office de tourisme - Vieille ville</x:v>
      </x:c>
      <x:c r="B20" s="61" t="str">
        <x:v>https://www.hyeres-tourisme.com/guide-pratique/visites-et-decouvertes/circuits-decouvertes</x:v>
      </x:c>
      <x:c r="C20" s="99"/>
      <x:c r="D20" s="99"/>
      <x:c r="E20" s="99"/>
      <x:c r="F20" s="99"/>
    </x:row>
    <x:row r="21">
      <x:c r="A21" s="61" t="str">
        <x:v>Office de tourisme - Port-Cros pratique</x:v>
      </x:c>
      <x:c r="B21" s="61" t="str">
        <x:v>https://www.hyeres-tourisme.com/les-iles-dor/port-cros/traversees-maritimes/</x:v>
      </x:c>
      <x:c r="C21" s="99"/>
      <x:c r="D21" s="99"/>
      <x:c r="E21" s="99"/>
      <x:c r="F21" s="99"/>
    </x:row>
    <x:row r="22">
      <x:c r="A22" s="61" t="str">
        <x:v>Source projet</x:v>
      </x:c>
      <x:c r="B22" s="61" t="str">
        <x:v>Optimiser-le-marketing-dans-l'OTA-(stratégie globale résumé).txt</x:v>
      </x:c>
      <x:c r="C22" s="99"/>
      <x:c r="D22" s="99"/>
      <x:c r="E22" s="99"/>
      <x:c r="F22" s="99"/>
    </x:row>
  </x:sheetData>
  <x:mergeCells>
    <x:mergeCell ref="A1:F2"/>
  </x:mergeCells>
  <x:pageMargins left="0.7" right="0.7" top="0.75" bottom="0.75" header="0.3" footer="0.3"/>
</x:worksheet>
</file>